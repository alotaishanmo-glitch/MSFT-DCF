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dulrahmanalotaishan/Documents/"/>
    </mc:Choice>
  </mc:AlternateContent>
  <xr:revisionPtr revIDLastSave="0" documentId="8_{400D95AF-34B8-BA48-A387-3A9642C9A57E}" xr6:coauthVersionLast="47" xr6:coauthVersionMax="47" xr10:uidLastSave="{00000000-0000-0000-0000-000000000000}"/>
  <bookViews>
    <workbookView xWindow="0" yWindow="740" windowWidth="29400" windowHeight="18380" activeTab="6" xr2:uid="{932A4C03-8F5C-9D4B-B15F-87771F4DD906}"/>
  </bookViews>
  <sheets>
    <sheet name="Historicals" sheetId="1" r:id="rId1"/>
    <sheet name="Assumptions" sheetId="2" r:id="rId2"/>
    <sheet name="Projections" sheetId="3" r:id="rId3"/>
    <sheet name="DCF Valuation" sheetId="4" r:id="rId4"/>
    <sheet name="Sensitivity" sheetId="5" r:id="rId5"/>
    <sheet name="Comps" sheetId="7" r:id="rId6"/>
    <sheet name="Summary" sheetId="6" r:id="rId7"/>
    <sheet name="Investment Memo" sheetId="8" r:id="rId8"/>
    <sheet name="Segments" sheetId="9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5" i="6" l="1"/>
  <c r="B14" i="6"/>
  <c r="B13" i="6"/>
  <c r="B16" i="9"/>
  <c r="C15" i="9"/>
  <c r="C14" i="9"/>
  <c r="C13" i="9"/>
  <c r="G8" i="9"/>
  <c r="G7" i="9"/>
  <c r="G6" i="9"/>
  <c r="C35" i="7"/>
  <c r="E13" i="2"/>
  <c r="B45" i="2" s="1"/>
  <c r="E12" i="2"/>
  <c r="B44" i="2" s="1"/>
  <c r="E11" i="2"/>
  <c r="B35" i="2" s="1"/>
  <c r="E8" i="6" s="1"/>
  <c r="E10" i="2"/>
  <c r="B30" i="2" s="1"/>
  <c r="E11" i="6" s="1"/>
  <c r="E9" i="2"/>
  <c r="B29" i="2" s="1"/>
  <c r="E8" i="2"/>
  <c r="B28" i="2" s="1"/>
  <c r="E7" i="2"/>
  <c r="B27" i="2" s="1"/>
  <c r="E6" i="2"/>
  <c r="B26" i="2" s="1"/>
  <c r="B16" i="8"/>
  <c r="E49" i="6"/>
  <c r="E48" i="6"/>
  <c r="E47" i="6"/>
  <c r="E46" i="6"/>
  <c r="B54" i="4"/>
  <c r="B53" i="4"/>
  <c r="B49" i="4"/>
  <c r="B50" i="4" s="1"/>
  <c r="B45" i="4"/>
  <c r="E21" i="7"/>
  <c r="C21" i="7"/>
  <c r="D21" i="7" s="1"/>
  <c r="L10" i="7"/>
  <c r="F10" i="7"/>
  <c r="L9" i="7"/>
  <c r="F9" i="7"/>
  <c r="L8" i="7"/>
  <c r="F8" i="7"/>
  <c r="L7" i="7"/>
  <c r="F7" i="7"/>
  <c r="L6" i="7"/>
  <c r="L14" i="7" s="1"/>
  <c r="D37" i="7" s="1"/>
  <c r="F6" i="7"/>
  <c r="E12" i="6"/>
  <c r="E9" i="6"/>
  <c r="B35" i="4"/>
  <c r="B7" i="6" s="1"/>
  <c r="B33" i="4"/>
  <c r="B30" i="4"/>
  <c r="B20" i="3"/>
  <c r="B17" i="3"/>
  <c r="B14" i="3"/>
  <c r="B13" i="3"/>
  <c r="B12" i="3"/>
  <c r="B6" i="3"/>
  <c r="B30" i="9" s="1"/>
  <c r="D21" i="1"/>
  <c r="C21" i="1"/>
  <c r="C23" i="1" s="1"/>
  <c r="C26" i="1" s="1"/>
  <c r="C31" i="1" s="1"/>
  <c r="C32" i="1" s="1"/>
  <c r="B21" i="1"/>
  <c r="B23" i="1" s="1"/>
  <c r="B26" i="1" s="1"/>
  <c r="B31" i="1" s="1"/>
  <c r="B32" i="1" s="1"/>
  <c r="D17" i="1"/>
  <c r="B18" i="3" s="1"/>
  <c r="C17" i="1"/>
  <c r="B17" i="1"/>
  <c r="D14" i="1"/>
  <c r="B15" i="3" s="1"/>
  <c r="C14" i="1"/>
  <c r="B14" i="1"/>
  <c r="D8" i="1"/>
  <c r="C8" i="1"/>
  <c r="C9" i="1" s="1"/>
  <c r="B8" i="1"/>
  <c r="B9" i="1" s="1"/>
  <c r="B29" i="9" l="1"/>
  <c r="B31" i="9" s="1"/>
  <c r="B32" i="9" s="1"/>
  <c r="B23" i="9"/>
  <c r="B21" i="9"/>
  <c r="B22" i="9"/>
  <c r="D15" i="9"/>
  <c r="D14" i="9"/>
  <c r="C16" i="9"/>
  <c r="D13" i="9"/>
  <c r="C21" i="9"/>
  <c r="B14" i="4"/>
  <c r="E7" i="6"/>
  <c r="C8" i="4"/>
  <c r="F8" i="4"/>
  <c r="B15" i="4"/>
  <c r="B18" i="4" s="1"/>
  <c r="E8" i="4"/>
  <c r="E6" i="6"/>
  <c r="B8" i="4"/>
  <c r="D8" i="4"/>
  <c r="B61" i="4"/>
  <c r="B6" i="5"/>
  <c r="C6" i="5"/>
  <c r="D6" i="5"/>
  <c r="E6" i="5"/>
  <c r="F6" i="5"/>
  <c r="G6" i="5"/>
  <c r="H6" i="5"/>
  <c r="C46" i="6" s="1"/>
  <c r="B7" i="5"/>
  <c r="C7" i="5"/>
  <c r="D30" i="8" s="1"/>
  <c r="D31" i="8" s="1"/>
  <c r="D7" i="5"/>
  <c r="E7" i="5"/>
  <c r="F7" i="5"/>
  <c r="G7" i="5"/>
  <c r="H7" i="5"/>
  <c r="B8" i="5"/>
  <c r="C8" i="5"/>
  <c r="D8" i="5"/>
  <c r="E8" i="5"/>
  <c r="F8" i="5"/>
  <c r="G8" i="5"/>
  <c r="H20" i="5"/>
  <c r="D21" i="5"/>
  <c r="C6" i="3"/>
  <c r="C30" i="9" s="1"/>
  <c r="B9" i="5"/>
  <c r="C9" i="5"/>
  <c r="D9" i="5"/>
  <c r="F9" i="5"/>
  <c r="H9" i="5"/>
  <c r="C10" i="5"/>
  <c r="F10" i="5"/>
  <c r="H10" i="5"/>
  <c r="C11" i="5"/>
  <c r="D11" i="5"/>
  <c r="F11" i="5"/>
  <c r="H11" i="5"/>
  <c r="C12" i="5"/>
  <c r="D12" i="5"/>
  <c r="E12" i="5"/>
  <c r="G12" i="5"/>
  <c r="B13" i="5"/>
  <c r="D13" i="5"/>
  <c r="F13" i="5"/>
  <c r="H13" i="5"/>
  <c r="C14" i="5"/>
  <c r="F14" i="5"/>
  <c r="H14" i="5"/>
  <c r="C20" i="5"/>
  <c r="E20" i="5"/>
  <c r="G20" i="5"/>
  <c r="B21" i="5"/>
  <c r="F21" i="5"/>
  <c r="H21" i="5"/>
  <c r="C22" i="5"/>
  <c r="F22" i="5"/>
  <c r="B23" i="5"/>
  <c r="D23" i="5"/>
  <c r="F23" i="5"/>
  <c r="H23" i="5"/>
  <c r="B24" i="5"/>
  <c r="D24" i="5"/>
  <c r="F24" i="5"/>
  <c r="G24" i="5"/>
  <c r="B25" i="5"/>
  <c r="D25" i="5"/>
  <c r="F25" i="5"/>
  <c r="H25" i="5"/>
  <c r="B26" i="5"/>
  <c r="D26" i="5"/>
  <c r="F26" i="5"/>
  <c r="B27" i="5"/>
  <c r="D27" i="5"/>
  <c r="F27" i="5"/>
  <c r="C28" i="5"/>
  <c r="D28" i="5"/>
  <c r="E28" i="5"/>
  <c r="F28" i="5"/>
  <c r="H8" i="5"/>
  <c r="E9" i="5"/>
  <c r="G9" i="5"/>
  <c r="B10" i="5"/>
  <c r="D10" i="5"/>
  <c r="E10" i="5"/>
  <c r="G10" i="5"/>
  <c r="B11" i="5"/>
  <c r="E11" i="5"/>
  <c r="G11" i="5"/>
  <c r="B12" i="5"/>
  <c r="F12" i="5"/>
  <c r="H12" i="5"/>
  <c r="C13" i="5"/>
  <c r="E13" i="5"/>
  <c r="G13" i="5"/>
  <c r="B14" i="5"/>
  <c r="D14" i="5"/>
  <c r="E14" i="5"/>
  <c r="G14" i="5"/>
  <c r="B20" i="5"/>
  <c r="D20" i="5"/>
  <c r="F20" i="5"/>
  <c r="C21" i="5"/>
  <c r="E21" i="5"/>
  <c r="G21" i="5"/>
  <c r="B22" i="5"/>
  <c r="D22" i="5"/>
  <c r="E22" i="5"/>
  <c r="G22" i="5"/>
  <c r="H22" i="5"/>
  <c r="C23" i="5"/>
  <c r="E23" i="5"/>
  <c r="G23" i="5"/>
  <c r="C24" i="5"/>
  <c r="E24" i="5"/>
  <c r="H24" i="5"/>
  <c r="C25" i="5"/>
  <c r="E25" i="5"/>
  <c r="G25" i="5"/>
  <c r="C26" i="5"/>
  <c r="E26" i="5"/>
  <c r="G26" i="5"/>
  <c r="H26" i="5"/>
  <c r="C27" i="5"/>
  <c r="E27" i="5"/>
  <c r="G27" i="5"/>
  <c r="H27" i="5"/>
  <c r="B28" i="5"/>
  <c r="H28" i="5"/>
  <c r="E10" i="6"/>
  <c r="G28" i="5"/>
  <c r="B55" i="4"/>
  <c r="B29" i="7"/>
  <c r="B24" i="8"/>
  <c r="F21" i="7"/>
  <c r="L17" i="7"/>
  <c r="L15" i="7"/>
  <c r="L13" i="7"/>
  <c r="B28" i="7" s="1"/>
  <c r="L12" i="7"/>
  <c r="L16" i="7"/>
  <c r="B30" i="7" s="1"/>
  <c r="K10" i="7"/>
  <c r="J10" i="7"/>
  <c r="K9" i="7"/>
  <c r="J9" i="7"/>
  <c r="K8" i="7"/>
  <c r="J8" i="7"/>
  <c r="K7" i="7"/>
  <c r="J7" i="7"/>
  <c r="K6" i="7"/>
  <c r="J6" i="7"/>
  <c r="D23" i="1"/>
  <c r="B21" i="3"/>
  <c r="B9" i="3"/>
  <c r="D9" i="1"/>
  <c r="B10" i="3" s="1"/>
  <c r="E15" i="9" l="1"/>
  <c r="E14" i="9"/>
  <c r="E13" i="9"/>
  <c r="D16" i="9"/>
  <c r="C29" i="9"/>
  <c r="C31" i="9" s="1"/>
  <c r="C32" i="9" s="1"/>
  <c r="C23" i="9"/>
  <c r="C22" i="9"/>
  <c r="G21" i="7"/>
  <c r="J21" i="7" s="1"/>
  <c r="B20" i="8"/>
  <c r="D6" i="3"/>
  <c r="D30" i="9" s="1"/>
  <c r="C29" i="3"/>
  <c r="C28" i="3"/>
  <c r="C27" i="3"/>
  <c r="C17" i="3"/>
  <c r="C36" i="7" s="1"/>
  <c r="F36" i="7" s="1"/>
  <c r="C14" i="3"/>
  <c r="C13" i="3"/>
  <c r="C12" i="3"/>
  <c r="C15" i="3" s="1"/>
  <c r="C9" i="3"/>
  <c r="C10" i="3" s="1"/>
  <c r="C7" i="3"/>
  <c r="B30" i="8"/>
  <c r="B31" i="8" s="1"/>
  <c r="B46" i="6"/>
  <c r="G46" i="6"/>
  <c r="F46" i="6"/>
  <c r="B57" i="4"/>
  <c r="B56" i="4"/>
  <c r="D26" i="1"/>
  <c r="D31" i="1" s="1"/>
  <c r="D32" i="1" s="1"/>
  <c r="B23" i="3"/>
  <c r="B26" i="3" s="1"/>
  <c r="B31" i="3" s="1"/>
  <c r="B32" i="3" s="1"/>
  <c r="K14" i="7"/>
  <c r="D36" i="7" s="1"/>
  <c r="K15" i="7"/>
  <c r="K12" i="7"/>
  <c r="K17" i="7"/>
  <c r="K16" i="7"/>
  <c r="B27" i="7" s="1"/>
  <c r="K13" i="7"/>
  <c r="B25" i="7" s="1"/>
  <c r="J12" i="7"/>
  <c r="J14" i="7"/>
  <c r="J15" i="7"/>
  <c r="J13" i="7"/>
  <c r="J16" i="7"/>
  <c r="J17" i="7"/>
  <c r="F15" i="9" l="1"/>
  <c r="F14" i="9"/>
  <c r="F13" i="9"/>
  <c r="E16" i="9"/>
  <c r="E21" i="9" s="1"/>
  <c r="D29" i="9"/>
  <c r="D31" i="9" s="1"/>
  <c r="D32" i="9" s="1"/>
  <c r="D22" i="9"/>
  <c r="D21" i="9"/>
  <c r="D23" i="9"/>
  <c r="D7" i="3"/>
  <c r="D9" i="3"/>
  <c r="D10" i="3" s="1"/>
  <c r="D12" i="3"/>
  <c r="D14" i="3"/>
  <c r="D17" i="3"/>
  <c r="D27" i="3"/>
  <c r="D29" i="3"/>
  <c r="D13" i="3"/>
  <c r="D28" i="3"/>
  <c r="E6" i="3"/>
  <c r="H21" i="7"/>
  <c r="B21" i="8"/>
  <c r="C20" i="3"/>
  <c r="C18" i="3"/>
  <c r="B22" i="8" s="1"/>
  <c r="C27" i="7"/>
  <c r="D27" i="7" s="1"/>
  <c r="C47" i="6" s="1"/>
  <c r="B60" i="4"/>
  <c r="B62" i="4" s="1"/>
  <c r="B26" i="7"/>
  <c r="B23" i="8"/>
  <c r="E13" i="3" l="1"/>
  <c r="E30" i="9"/>
  <c r="K21" i="7"/>
  <c r="C25" i="7"/>
  <c r="D25" i="7" s="1"/>
  <c r="B47" i="6" s="1"/>
  <c r="G15" i="9"/>
  <c r="G14" i="9"/>
  <c r="G13" i="9"/>
  <c r="F16" i="9"/>
  <c r="F21" i="9"/>
  <c r="E29" i="9"/>
  <c r="E23" i="9"/>
  <c r="E22" i="9"/>
  <c r="D15" i="3"/>
  <c r="C26" i="7"/>
  <c r="D26" i="7" s="1"/>
  <c r="E30" i="8" s="1"/>
  <c r="E31" i="8" s="1"/>
  <c r="D20" i="3"/>
  <c r="D18" i="3"/>
  <c r="E9" i="3"/>
  <c r="E10" i="3" s="1"/>
  <c r="E12" i="3"/>
  <c r="E14" i="3"/>
  <c r="E17" i="3"/>
  <c r="E29" i="3"/>
  <c r="F6" i="3"/>
  <c r="F30" i="9" s="1"/>
  <c r="E7" i="3"/>
  <c r="E27" i="3"/>
  <c r="E28" i="3"/>
  <c r="C21" i="3"/>
  <c r="C23" i="3"/>
  <c r="C26" i="3"/>
  <c r="C31" i="3" s="1"/>
  <c r="F47" i="6" l="1"/>
  <c r="G47" i="6"/>
  <c r="E31" i="9"/>
  <c r="E32" i="9" s="1"/>
  <c r="I21" i="7"/>
  <c r="C37" i="7"/>
  <c r="F37" i="7" s="1"/>
  <c r="H15" i="9"/>
  <c r="H14" i="9"/>
  <c r="H13" i="9"/>
  <c r="G16" i="9"/>
  <c r="G21" i="9" s="1"/>
  <c r="H21" i="9" s="1"/>
  <c r="F29" i="9"/>
  <c r="F31" i="9" s="1"/>
  <c r="F32" i="9" s="1"/>
  <c r="F23" i="9"/>
  <c r="F22" i="9"/>
  <c r="E15" i="3"/>
  <c r="D21" i="3"/>
  <c r="D23" i="3"/>
  <c r="D26" i="3" s="1"/>
  <c r="D31" i="3" s="1"/>
  <c r="E20" i="3"/>
  <c r="E18" i="3"/>
  <c r="F7" i="3"/>
  <c r="F9" i="3"/>
  <c r="F10" i="3" s="1"/>
  <c r="F12" i="3"/>
  <c r="F13" i="3"/>
  <c r="F14" i="3"/>
  <c r="F17" i="3"/>
  <c r="F27" i="3"/>
  <c r="G6" i="3"/>
  <c r="G30" i="9" s="1"/>
  <c r="F28" i="3"/>
  <c r="F29" i="3"/>
  <c r="B6" i="4"/>
  <c r="B9" i="4" s="1"/>
  <c r="B21" i="6" s="1"/>
  <c r="C32" i="3"/>
  <c r="D28" i="7"/>
  <c r="B48" i="6" s="1"/>
  <c r="F48" i="6" s="1"/>
  <c r="L21" i="7"/>
  <c r="D30" i="7"/>
  <c r="C48" i="6" s="1"/>
  <c r="D29" i="7"/>
  <c r="G29" i="9" l="1"/>
  <c r="G31" i="9" s="1"/>
  <c r="G32" i="9" s="1"/>
  <c r="H16" i="9"/>
  <c r="G23" i="9"/>
  <c r="H23" i="9" s="1"/>
  <c r="G22" i="9"/>
  <c r="H22" i="9" s="1"/>
  <c r="F15" i="3"/>
  <c r="C6" i="4"/>
  <c r="C9" i="4" s="1"/>
  <c r="B22" i="6" s="1"/>
  <c r="D32" i="3"/>
  <c r="E23" i="3"/>
  <c r="E26" i="3" s="1"/>
  <c r="E31" i="3" s="1"/>
  <c r="E21" i="3"/>
  <c r="F18" i="3"/>
  <c r="F20" i="3"/>
  <c r="G7" i="3"/>
  <c r="G12" i="3"/>
  <c r="G28" i="3"/>
  <c r="G9" i="3"/>
  <c r="G10" i="3" s="1"/>
  <c r="G13" i="3"/>
  <c r="G27" i="3"/>
  <c r="G29" i="3"/>
  <c r="G17" i="3"/>
  <c r="G14" i="3"/>
  <c r="G48" i="6"/>
  <c r="G15" i="3" l="1"/>
  <c r="D6" i="4"/>
  <c r="D9" i="4" s="1"/>
  <c r="B23" i="6" s="1"/>
  <c r="E32" i="3"/>
  <c r="F21" i="3"/>
  <c r="F23" i="3"/>
  <c r="F26" i="3" s="1"/>
  <c r="F31" i="3" s="1"/>
  <c r="G20" i="3"/>
  <c r="G18" i="3"/>
  <c r="G23" i="3" l="1"/>
  <c r="G26" i="3" s="1"/>
  <c r="G31" i="3" s="1"/>
  <c r="G21" i="3"/>
  <c r="E6" i="4"/>
  <c r="E9" i="4" s="1"/>
  <c r="B24" i="6" s="1"/>
  <c r="F32" i="3"/>
  <c r="B13" i="4"/>
  <c r="B16" i="4" s="1"/>
  <c r="B19" i="4" s="1"/>
  <c r="G32" i="3" l="1"/>
  <c r="F6" i="4"/>
  <c r="F9" i="4" s="1"/>
  <c r="B25" i="6" s="1"/>
  <c r="B26" i="6"/>
  <c r="B24" i="4"/>
  <c r="G9" i="4"/>
  <c r="B23" i="4" s="1"/>
  <c r="B25" i="4" l="1"/>
  <c r="B19" i="8" s="1"/>
  <c r="B29" i="4" l="1"/>
  <c r="B31" i="4" s="1"/>
  <c r="B34" i="4" s="1"/>
  <c r="B10" i="6"/>
  <c r="B9" i="6"/>
  <c r="B26" i="4"/>
  <c r="B37" i="7" l="1"/>
  <c r="E37" i="7" s="1"/>
  <c r="B36" i="7"/>
  <c r="E36" i="7" s="1"/>
  <c r="B35" i="7"/>
  <c r="E35" i="7" s="1"/>
  <c r="C30" i="8"/>
  <c r="C31" i="8" s="1"/>
  <c r="B15" i="8"/>
  <c r="C49" i="6"/>
  <c r="B49" i="6"/>
  <c r="F49" i="6" s="1"/>
  <c r="B6" i="6"/>
  <c r="B11" i="6"/>
  <c r="B36" i="4"/>
  <c r="B37" i="4"/>
  <c r="B8" i="6" l="1"/>
  <c r="B17" i="8"/>
  <c r="B12" i="6"/>
  <c r="B18" i="8"/>
</calcChain>
</file>

<file path=xl/sharedStrings.xml><?xml version="1.0" encoding="utf-8"?>
<sst xmlns="http://schemas.openxmlformats.org/spreadsheetml/2006/main" count="477" uniqueCount="352">
  <si>
    <t>Microsoft Corporation (MSFT) — Historical Financial Summary</t>
  </si>
  <si>
    <t>Source: SEC EDGAR Form 10-K | FY2022–FY2024 | Fiscal Year End: June 30 | $ in Millions</t>
  </si>
  <si>
    <t>FY2022</t>
  </si>
  <si>
    <t>FY2023</t>
  </si>
  <si>
    <t>FY2024</t>
  </si>
  <si>
    <t>INCOME STATEMENT ($M)</t>
  </si>
  <si>
    <t>Revenue</t>
  </si>
  <si>
    <t>Cost of Revenue</t>
  </si>
  <si>
    <t>Gross Profit</t>
  </si>
  <si>
    <t xml:space="preserve">  Gross Margin %</t>
  </si>
  <si>
    <t xml:space="preserve">  Research &amp; Development</t>
  </si>
  <si>
    <t xml:space="preserve">  Sales &amp; Marketing</t>
  </si>
  <si>
    <t xml:space="preserve">  General &amp; Administrative</t>
  </si>
  <si>
    <t xml:space="preserve">  Total Operating Expenses</t>
  </si>
  <si>
    <t>EBIT (Operating Income)</t>
  </si>
  <si>
    <t xml:space="preserve">  EBIT Margin %</t>
  </si>
  <si>
    <t>Income Before Tax</t>
  </si>
  <si>
    <t xml:space="preserve">  Provision for Income Taxes</t>
  </si>
  <si>
    <t xml:space="preserve">  Effective Tax Rate</t>
  </si>
  <si>
    <t>NOPAT (EBIT × (1 - Tax Rate))</t>
  </si>
  <si>
    <t>FREE CASH FLOW BRIDGE ($M)</t>
  </si>
  <si>
    <t>NOPAT</t>
  </si>
  <si>
    <t>(+) Depreciation &amp; Amortization</t>
  </si>
  <si>
    <t>(-) Capital Expenditures</t>
  </si>
  <si>
    <t>(-) Change in Net Working Capital</t>
  </si>
  <si>
    <t>Unlevered Free Cash Flow</t>
  </si>
  <si>
    <t xml:space="preserve">  UFCF Margin %</t>
  </si>
  <si>
    <t>Microsoft Corporation (MSFT) — DCF Model Assumptions</t>
  </si>
  <si>
    <t>All assumptions are hardcoded inputs (blue font) — editable for scenario analysis</t>
  </si>
  <si>
    <t>PROJECTION PERIOD</t>
  </si>
  <si>
    <t>Parameter</t>
  </si>
  <si>
    <t>Value</t>
  </si>
  <si>
    <t>Note</t>
  </si>
  <si>
    <t>Projection Period (Years)</t>
  </si>
  <si>
    <t>FY2025–FY2029</t>
  </si>
  <si>
    <t>REVENUE GROWTH RATES</t>
  </si>
  <si>
    <t>Year</t>
  </si>
  <si>
    <t>Growth Rate</t>
  </si>
  <si>
    <t>FY2025</t>
  </si>
  <si>
    <t>Year 1</t>
  </si>
  <si>
    <t>FY2026</t>
  </si>
  <si>
    <t>Year 2</t>
  </si>
  <si>
    <t>FY2027</t>
  </si>
  <si>
    <t>Year 3</t>
  </si>
  <si>
    <t>FY2028</t>
  </si>
  <si>
    <t>Year 4</t>
  </si>
  <si>
    <t>FY2029</t>
  </si>
  <si>
    <t>Year 5</t>
  </si>
  <si>
    <t>MARGIN ASSUMPTIONS</t>
  </si>
  <si>
    <t>Assumption</t>
  </si>
  <si>
    <t>Rate</t>
  </si>
  <si>
    <t>Gross Margin %</t>
  </si>
  <si>
    <t>% of Revenue</t>
  </si>
  <si>
    <t>EBIT Margin %</t>
  </si>
  <si>
    <t>Tax Rate</t>
  </si>
  <si>
    <t>Effective rate</t>
  </si>
  <si>
    <t>D&amp;A as % of Revenue</t>
  </si>
  <si>
    <t>Capex as % of Revenue</t>
  </si>
  <si>
    <t>Change in NWC as % of Revenue</t>
  </si>
  <si>
    <t>% of Revenue (use of cash)</t>
  </si>
  <si>
    <t>WACC &amp; TERMINAL VALUE</t>
  </si>
  <si>
    <t>WACC</t>
  </si>
  <si>
    <t>Weighted Average Cost of Capital</t>
  </si>
  <si>
    <t>Terminal Growth Rate</t>
  </si>
  <si>
    <t>Gordon Growth Model (perpetuity)</t>
  </si>
  <si>
    <t>EQUITY BRIDGE INPUTS</t>
  </si>
  <si>
    <t>Shares Outstanding (M)</t>
  </si>
  <si>
    <t>Diluted shares as of FY2024</t>
  </si>
  <si>
    <t>Net Debt ($M)</t>
  </si>
  <si>
    <t>Negative = net cash position</t>
  </si>
  <si>
    <t>Current Share Price ($)</t>
  </si>
  <si>
    <t>As of model date (hardcoded)</t>
  </si>
  <si>
    <t>Microsoft Corporation (MSFT) — 5-Year Financial Projections</t>
  </si>
  <si>
    <t>All projections driven by Assumptions sheet — no hardcoded values | $ in Millions</t>
  </si>
  <si>
    <t>FY2024A</t>
  </si>
  <si>
    <t>FY2025E</t>
  </si>
  <si>
    <t>FY2026E</t>
  </si>
  <si>
    <t>FY2027E</t>
  </si>
  <si>
    <t>FY2028E</t>
  </si>
  <si>
    <t>FY2029E</t>
  </si>
  <si>
    <t xml:space="preserve">  Revenue Growth %</t>
  </si>
  <si>
    <t xml:space="preserve">  R&amp;D</t>
  </si>
  <si>
    <t xml:space="preserve">  G&amp;A</t>
  </si>
  <si>
    <t xml:space="preserve">  Total OpEx</t>
  </si>
  <si>
    <t>EBIT</t>
  </si>
  <si>
    <t>Taxes</t>
  </si>
  <si>
    <t>Unlevered Free Cash Flow (UFCF)</t>
  </si>
  <si>
    <t>Microsoft Corporation (MSFT) — Discounted Cash Flow Valuation</t>
  </si>
  <si>
    <t>Mid-year convention | Gordon Growth Model terminal value | $ in Millions</t>
  </si>
  <si>
    <t>STEP 1 — PROJECTED FREE CASH FLOWS &amp; DISCOUNT FACTORS</t>
  </si>
  <si>
    <t>Unlevered FCF ($M)</t>
  </si>
  <si>
    <t>Discount Period (mid-year)</t>
  </si>
  <si>
    <t>Discount Factor (1/(1+WACC)^t)</t>
  </si>
  <si>
    <t>PV of FCF ($M)</t>
  </si>
  <si>
    <t>Total</t>
  </si>
  <si>
    <t>STEP 2 — TERMINAL VALUE (Gordon Growth Model)</t>
  </si>
  <si>
    <t>Terminal Year FCF ($M) — FY2029E</t>
  </si>
  <si>
    <t>Terminal Growth Rate (g)</t>
  </si>
  <si>
    <t>Terminal Value Discount Period</t>
  </si>
  <si>
    <t>Discount Factor</t>
  </si>
  <si>
    <t>PV of Terminal Value ($M)</t>
  </si>
  <si>
    <t>(+) Sum of PV of FCFs ($M)</t>
  </si>
  <si>
    <t>(+) PV of Terminal Value ($M)</t>
  </si>
  <si>
    <t>Terminal Value = FCF x (1+g) / (WACC - g)</t>
  </si>
  <si>
    <t>STEP 3 - ENTERPRISE VALUE</t>
  </si>
  <si>
    <t>Enterprise Value ($M)</t>
  </si>
  <si>
    <t>% of EV from Terminal Value</t>
  </si>
  <si>
    <t>STEP 4 — EQUITY VALUE &amp; PRICE PER SHARE</t>
  </si>
  <si>
    <t>Net Debt ($M) [negative = net cash]</t>
  </si>
  <si>
    <t>Equity Value ($M)</t>
  </si>
  <si>
    <t>Implied Price Per Share</t>
  </si>
  <si>
    <t>Current Share Price</t>
  </si>
  <si>
    <t>Implied Upside / (Downside)</t>
  </si>
  <si>
    <t>Verdict</t>
  </si>
  <si>
    <t>Microsoft Corporation (MSFT) — DCF Sensitivity Analysis</t>
  </si>
  <si>
    <t>Each cell recalculates the full DCF for that WACC × Terminal Growth Rate combination | $ in Millions</t>
  </si>
  <si>
    <t>TABLE 1 — IMPLIED SHARE PRICE vs. WACC &amp; TERMINAL GROWTH RATE</t>
  </si>
  <si>
    <t>Implied Price ($)</t>
  </si>
  <si>
    <t>← Terminal Growth Rate →</t>
  </si>
  <si>
    <t>WACC \ TGR</t>
  </si>
  <si>
    <t>TABLE 2 — IMPLIED EV/EBITDA MULTIPLE vs. WACC &amp; TERMINAL GROWTH RATE</t>
  </si>
  <si>
    <t>COLOR LEGEND:</t>
  </si>
  <si>
    <t>Green = &gt;20% upside to current price</t>
  </si>
  <si>
    <t>Yellow = within 20% of current price</t>
  </si>
  <si>
    <t>Red = &gt;20% below current price</t>
  </si>
  <si>
    <t>MSFT</t>
  </si>
  <si>
    <t>Microsoft Corporation</t>
  </si>
  <si>
    <t>DCF Valuation Model | Fiscal Year End: June 30 | $ in Millions</t>
  </si>
  <si>
    <t>Model Date:</t>
  </si>
  <si>
    <t>Sun May 03 2026</t>
  </si>
  <si>
    <t>VALUATION SUMMARY</t>
  </si>
  <si>
    <t>Metric</t>
  </si>
  <si>
    <t>Implied Share Price</t>
  </si>
  <si>
    <t>Implied EV / FY2025 Revenue</t>
  </si>
  <si>
    <t>Implied P/E (FY2025 Net Income)</t>
  </si>
  <si>
    <t>Revenue Growth FY2025</t>
  </si>
  <si>
    <t>Revenue Growth FY2029</t>
  </si>
  <si>
    <t>CHART DATA — PV of Cash Flows ($M)</t>
  </si>
  <si>
    <t>Year / Component</t>
  </si>
  <si>
    <t>PV ($M)</t>
  </si>
  <si>
    <t>PV of Terminal Value</t>
  </si>
  <si>
    <t>Microsoft Corporation (MSFT) — Comparable Company Analysis</t>
  </si>
  <si>
    <t>Source: SEC EDGAR filings (most recent fiscal year) | $ in Millions | EV = Market Cap + Net Debt</t>
  </si>
  <si>
    <t>PEER TRADING MULTIPLES</t>
  </si>
  <si>
    <t>Company</t>
  </si>
  <si>
    <t>Ticker</t>
  </si>
  <si>
    <t>Share Price</t>
  </si>
  <si>
    <t>Mkt Cap ($M)</t>
  </si>
  <si>
    <t>EV ($M)</t>
  </si>
  <si>
    <t>Revenue ($M)</t>
  </si>
  <si>
    <t>EBITDA ($M)</t>
  </si>
  <si>
    <t>Net Income ($M)</t>
  </si>
  <si>
    <t>EV/Revenue</t>
  </si>
  <si>
    <t>EV/EBITDA</t>
  </si>
  <si>
    <t>P/E</t>
  </si>
  <si>
    <t>Alphabet</t>
  </si>
  <si>
    <t>GOOGL</t>
  </si>
  <si>
    <t>Apple</t>
  </si>
  <si>
    <t>AAPL</t>
  </si>
  <si>
    <t>Salesforce</t>
  </si>
  <si>
    <t>CRM</t>
  </si>
  <si>
    <t>Oracle</t>
  </si>
  <si>
    <t>ORCL</t>
  </si>
  <si>
    <t>Adobe</t>
  </si>
  <si>
    <t>ADBE</t>
  </si>
  <si>
    <t>Min</t>
  </si>
  <si>
    <t>25th Percentile</t>
  </si>
  <si>
    <t>Median</t>
  </si>
  <si>
    <t>Mean</t>
  </si>
  <si>
    <t>75th Percentile</t>
  </si>
  <si>
    <t>Max</t>
  </si>
  <si>
    <t>MSFT — SUBJECT COMPANY</t>
  </si>
  <si>
    <t>FY25E Revenue</t>
  </si>
  <si>
    <t>FY25E EBITDA</t>
  </si>
  <si>
    <t>FY25E Net Income</t>
  </si>
  <si>
    <t>Microsoft</t>
  </si>
  <si>
    <t>MSFT IMPLIED SHARE PRICE — BASED ON PEER MULTIPLES</t>
  </si>
  <si>
    <t>Methodology</t>
  </si>
  <si>
    <t>Multiple Used</t>
  </si>
  <si>
    <t>Implied EV ($M)</t>
  </si>
  <si>
    <t>EV/EBITDA — 25th Percentile</t>
  </si>
  <si>
    <t>EV/EBITDA — Median</t>
  </si>
  <si>
    <t>EV/EBITDA — 75th Percentile</t>
  </si>
  <si>
    <t>P/E — 25th Percentile</t>
  </si>
  <si>
    <t>N/A</t>
  </si>
  <si>
    <t>P/E — Median</t>
  </si>
  <si>
    <t>P/E — 75th Percentile</t>
  </si>
  <si>
    <t>Analyst Rationale</t>
  </si>
  <si>
    <t>AI-driven cloud + Copilot monetization; consistent w/ MSFT FY24A revenue growth of 16%</t>
  </si>
  <si>
    <t>Slight deceleration as AI tailwinds mature; Azure growth normalizes toward 30-35%</t>
  </si>
  <si>
    <t>Continued enterprise AI adoption; on-prem to cloud migration sustains growth</t>
  </si>
  <si>
    <t>Broader market penetration; growth moderates as base expands</t>
  </si>
  <si>
    <t>Approaching long-run sustainable growth; converging toward terminal rate</t>
  </si>
  <si>
    <t>FY24A was 69.8%; 70% assumes modest improvement as cloud mix grows (higher-margin)</t>
  </si>
  <si>
    <t>FY24A was 44.6%; 45% reflects continued operating leverage + AI efficiency gains</t>
  </si>
  <si>
    <t>User-specified 18%; vs. FY24A effective rate of 18.2% — consistent with recent trend</t>
  </si>
  <si>
    <t>FY24A D&amp;A was 9.1% (cloud infra-heavy year); 4% reflects normalized steady-state D&amp;A</t>
  </si>
  <si>
    <t>FY24A CapEx was 18.1% (AI buildout cycle); 5% assumes moderation post-peak spend</t>
  </si>
  <si>
    <t>MSFT historically runs negative NWC delta (deferred revenue growth); 1% use-of-cash conservative</t>
  </si>
  <si>
    <t>9% reflects large-cap tech WACC; ~3.8-4.4% risk-free rate + beta-adjusted ERP for MSFT (~0.9 beta)</t>
  </si>
  <si>
    <t>3.0% equals long-run nominal GDP growth; reasonable for a global enterprise software platform</t>
  </si>
  <si>
    <t>FY2024 diluted weighted-average shares per 10-K</t>
  </si>
  <si>
    <t>Net cash position — cash &amp; investments exceed debt; a credit to equity value</t>
  </si>
  <si>
    <t>Analyst's reference price — update to current market price before use</t>
  </si>
  <si>
    <t>Standard 5-year explicit projection horizon for mature large-cap DCF</t>
  </si>
  <si>
    <t>STEP 0 — WACC CALCULATION (CAPM Methodology)</t>
  </si>
  <si>
    <t>COST OF EQUITY (CAPM)</t>
  </si>
  <si>
    <t>Risk-Free Rate (10Y US Treasury Yield)</t>
  </si>
  <si>
    <t>Equity Risk Premium (ERP)</t>
  </si>
  <si>
    <t>Beta (5-Year Monthly vs. S&amp;P 500)</t>
  </si>
  <si>
    <t>Cost of Equity = Rf + β × ERP</t>
  </si>
  <si>
    <t>COST OF DEBT</t>
  </si>
  <si>
    <t>Pre-Tax Cost of Debt</t>
  </si>
  <si>
    <t>Tax Rate (from Assumptions)</t>
  </si>
  <si>
    <t>After-Tax Cost of Debt = Kd × (1 - Tax Rate)</t>
  </si>
  <si>
    <t>CAPITAL STRUCTURE WEIGHTS</t>
  </si>
  <si>
    <t>Market Capitalization ($M)</t>
  </si>
  <si>
    <t>Net Debt ($M) [Negative = Net Cash]</t>
  </si>
  <si>
    <t>Enterprise Value ($M) [for weights]</t>
  </si>
  <si>
    <t>Equity Weight</t>
  </si>
  <si>
    <t>Debt Weight</t>
  </si>
  <si>
    <t>WACC RESULT</t>
  </si>
  <si>
    <t>WACC = Ke×We + Kd×Wd (Computed)</t>
  </si>
  <si>
    <t>WACC Used in Model (from Assumptions)</t>
  </si>
  <si>
    <t>Difference (Model vs. Computed)</t>
  </si>
  <si>
    <t>Note: MSFT is a net cash company. With equity weight near 100%, WACC ≈ Cost of Equity.</t>
  </si>
  <si>
    <t>FOOTBALL FIELD CHART DATA</t>
  </si>
  <si>
    <t>Low ($)</t>
  </si>
  <si>
    <t>High ($)</t>
  </si>
  <si>
    <t>DCF (Sensitivity Range)</t>
  </si>
  <si>
    <t>EV/EBITDA Comps (25th–75th)</t>
  </si>
  <si>
    <t>P/E Comps (25th–75th)</t>
  </si>
  <si>
    <t>DCF Base Case</t>
  </si>
  <si>
    <t>Label</t>
  </si>
  <si>
    <t>Base (invisible)</t>
  </si>
  <si>
    <t>Width</t>
  </si>
  <si>
    <t>★ Current Price: $420 | ◆ DCF Base Case: $326.83 | Green shading = upside range | Blue = full sensitivity range</t>
  </si>
  <si>
    <t>INVESTMENT MEMORANDUM</t>
  </si>
  <si>
    <t>Microsoft Corporation (NASDAQ: MSFT)  ·  Equity Research  ·  May 2026</t>
  </si>
  <si>
    <t>DCF-Based Valuation Analysis  |  $ in Millions unless noted</t>
  </si>
  <si>
    <t>INVESTMENT THESIS</t>
  </si>
  <si>
    <t>Microsoft is the world's leading enterprise software and cloud platform, commanding dominant positions across three high-growth verticals: Azure cloud infrastructure, Microsoft 365 productivity, and Dynamics business applications. The company's early and aggressive bet on AI through its OpenAI partnership — and deep Copilot integration across its entire product suite — positions it as the critical AI infrastructure layer for enterprise clients globally.</t>
  </si>
  <si>
    <t>KEY FINANCIAL METRICS</t>
  </si>
  <si>
    <t>Source</t>
  </si>
  <si>
    <t>Implied Share Price (Base DCF)</t>
  </si>
  <si>
    <t>DCF model — base case WACC=9%, TGR=3%</t>
  </si>
  <si>
    <t>Market price (hardcoded)</t>
  </si>
  <si>
    <t>Implied Upside/(Downside)</t>
  </si>
  <si>
    <t>vs. current price</t>
  </si>
  <si>
    <t>IF formula: BUY/HOLD/SELL</t>
  </si>
  <si>
    <t>DCF-derived EV</t>
  </si>
  <si>
    <t>FY2025E Revenue ($M)</t>
  </si>
  <si>
    <t>Model projection</t>
  </si>
  <si>
    <t>FY2025E EBITDA ($M)</t>
  </si>
  <si>
    <t>EBIT + D&amp;A</t>
  </si>
  <si>
    <t>FY2025E EBIT Margin</t>
  </si>
  <si>
    <t>EV/EBITDA (Comps Median)</t>
  </si>
  <si>
    <t>Peer median</t>
  </si>
  <si>
    <t>P/E (Comps Median)</t>
  </si>
  <si>
    <t>SCENARIO ANALYSIS</t>
  </si>
  <si>
    <t>Bear Case</t>
  </si>
  <si>
    <t>Base Case</t>
  </si>
  <si>
    <t>Bull Case</t>
  </si>
  <si>
    <t>Comps (Median EV/EBITDA)</t>
  </si>
  <si>
    <t>Upside / (Downside) vs. $420</t>
  </si>
  <si>
    <t>Thesis</t>
  </si>
  <si>
    <t>AI monetization disappoints; CapEx weighs on FCF; macro headwinds</t>
  </si>
  <si>
    <t>Steady AI adoption; margin expansion; normalized CapEx post-FY25</t>
  </si>
  <si>
    <t>Accelerated AI monetization; Azure gains share; margin upside; multiple expansion</t>
  </si>
  <si>
    <t>Market prices MSFT at peer median EV/EBITDA — $390 implied</t>
  </si>
  <si>
    <t>KEY RISKS &amp; CONSIDERATIONS</t>
  </si>
  <si>
    <t>UPSIDE RISKS</t>
  </si>
  <si>
    <t>Faster-than-expected Copilot monetization and enterprise seat expansion</t>
  </si>
  <si>
    <t>Azure market share gains from AWS; accelerated cloud migration post-AI</t>
  </si>
  <si>
    <t>Operating leverage exceeds model as AI tools reduce headcount costs</t>
  </si>
  <si>
    <t>Multiple re-rating: market assigns premium to AI infrastructure platform status</t>
  </si>
  <si>
    <t>DOWNSIDE RISKS</t>
  </si>
  <si>
    <t>CapEx elevated beyond FY25 as AI infra buildout extends; FCF compression</t>
  </si>
  <si>
    <t>Competitive intensity from Google Cloud, AWS in enterprise AI; margin pressure</t>
  </si>
  <si>
    <t>Antitrust / regulatory risks: AI bundling scrutiny, EU/FTC investigations</t>
  </si>
  <si>
    <t>AI monetization disappointment: Copilot churn, pricing resistance</t>
  </si>
  <si>
    <t>DISCLAIMER: This model is for educational and analytical purposes only. Not investment advice. All projections are estimates based on publicly available information.</t>
  </si>
  <si>
    <t>The base-case DCF values MSFT at $327/share at WACC=9.0% and TGR=3.0%, implying ~22% downside vs. the current $420 price. This reflects a conservative view that (1) AI monetization is still maturing and not yet reflected in margin expansion, (2) CapEx normalization from FY2024's elevated 18%-of-revenue spend will dampen near-term FCF even as cloud growth continues, and (3) the market's current premium embeds more optimistic AI monetization scenarios than the base case captures.</t>
  </si>
  <si>
    <t>However, there is material upside optionality: at WACC=8.0% / TGR=3.5% — a scenario in which the market prices in a sustained AI supercycle — the implied price reaches $459, representing ~9% upside. Comps analysis using EV/EBITDA medians (~20.8x) implies $390, and P/E medians (~32.5x) imply $456 — both above the DCF base case, reflecting the market's growth premium for MSFT.</t>
  </si>
  <si>
    <t>SCENARIO SELECTOR</t>
  </si>
  <si>
    <t>Active Scenario:</t>
  </si>
  <si>
    <t>SCENARIO INPUTS TABLE</t>
  </si>
  <si>
    <t>Active Value</t>
  </si>
  <si>
    <t>FY2025 Revenue Growth</t>
  </si>
  <si>
    <t>FY2026 Revenue Growth</t>
  </si>
  <si>
    <t>FY2027 Revenue Growth</t>
  </si>
  <si>
    <t>FY2028 Revenue Growth</t>
  </si>
  <si>
    <t>FY2029 Revenue Growth</t>
  </si>
  <si>
    <t>↑ Change scenario above — all model outputs update automatically</t>
  </si>
  <si>
    <t>VALUATION BRIDGE — DCF vs. COMPS vs. MARKET</t>
  </si>
  <si>
    <t>At DCF Price ($327)</t>
  </si>
  <si>
    <t>At Market Price ($420)</t>
  </si>
  <si>
    <t>Comps Median</t>
  </si>
  <si>
    <t>DCF Discount to Comps</t>
  </si>
  <si>
    <t>Market Premium to Comps</t>
  </si>
  <si>
    <t>Share Price ($)</t>
  </si>
  <si>
    <t>—</t>
  </si>
  <si>
    <t>EV / EBITDA (FY2025E)</t>
  </si>
  <si>
    <t>P / E (FY2025E)</t>
  </si>
  <si>
    <t>Note: The DCF implies MSFT trades at a discount to peers on both metrics at $327 — the gap reflects the market's AI growth premium not captured in the base-case FCF assumptions.</t>
  </si>
  <si>
    <t>Microsoft Corporation (MSFT) — Revenue Segmentation Analysis</t>
  </si>
  <si>
    <t>Standalone reference model — not linked to main DCF | FY2024A actuals + FY2025-2029E projections | $ in Millions</t>
  </si>
  <si>
    <t>SEGMENT GROWTH RATE ASSUMPTIONS</t>
  </si>
  <si>
    <t>Segment</t>
  </si>
  <si>
    <t>5-Yr CAGR</t>
  </si>
  <si>
    <t>Rationale</t>
  </si>
  <si>
    <t>Azure &amp; Cloud Services</t>
  </si>
  <si>
    <t>AI-driven Azure acceleration; cloud migration tailwind</t>
  </si>
  <si>
    <t>Microsoft 365 &amp; Productivity</t>
  </si>
  <si>
    <t>Steady seat growth + ARPU expansion; Copilot M365 uplift</t>
  </si>
  <si>
    <t>LinkedIn, Gaming &amp; Other</t>
  </si>
  <si>
    <t>LinkedIn monetization + stabilizing gaming (Xbox)</t>
  </si>
  <si>
    <t>SEGMENT REVENUE PROJECTIONS ($M)</t>
  </si>
  <si>
    <t>FY25-29 CAGR</t>
  </si>
  <si>
    <t>TOTAL REVENUE</t>
  </si>
  <si>
    <t>SEGMENT MIX (% OF TOTAL REVENUE)</t>
  </si>
  <si>
    <t>Trend</t>
  </si>
  <si>
    <t>VARIANCE vs. MAIN PROJECTIONS SHEET (BLENDED MODEL)</t>
  </si>
  <si>
    <t>Row</t>
  </si>
  <si>
    <t>Segment Bottom-Up Revenue ($M)</t>
  </si>
  <si>
    <t>Blended Model Revenue ($M)</t>
  </si>
  <si>
    <t>Variance ($M) — Segment vs. Blended</t>
  </si>
  <si>
    <t>Variance (%) — Segment vs. Blended</t>
  </si>
  <si>
    <t>Note: Segment model uses independent growth rates per business line; the main Projections sheet uses a single blended rate. Variances reflect Azure's faster growth (32% vs blended 15% in FY2025), partially offset by slower LinkedIn/Gaming mix.</t>
  </si>
  <si>
    <t>12-Month Price Target ($)</t>
  </si>
  <si>
    <t>12-Month Expected Return (%)</t>
  </si>
  <si>
    <t>Investment Recommendation</t>
  </si>
  <si>
    <t>NON-FINANCIAL RISK FLAGS</t>
  </si>
  <si>
    <t>Risk Factor</t>
  </si>
  <si>
    <t>Severity</t>
  </si>
  <si>
    <t>Category</t>
  </si>
  <si>
    <t>Description</t>
  </si>
  <si>
    <t>EU AI Act Compliance</t>
  </si>
  <si>
    <t>High</t>
  </si>
  <si>
    <t>Regulatory</t>
  </si>
  <si>
    <t>Mandatory transparency and audit requirements for MSFT's AI systems could increase operating costs and slow Copilot rollout in European markets.</t>
  </si>
  <si>
    <t>Antitrust &amp; Bundling Scrutiny</t>
  </si>
  <si>
    <t>Regulators in the US and EU are actively investigating whether Copilot's integration into Microsoft 365 constitutes anti-competitive bundling.</t>
  </si>
  <si>
    <t>Azure Data Sovereignty</t>
  </si>
  <si>
    <t>Medium</t>
  </si>
  <si>
    <t>Operational</t>
  </si>
  <si>
    <t>Enterprise and government clients in regulated markets increasingly require local data residency, potentially limiting Azure's global margin profile.</t>
  </si>
  <si>
    <t>OpenAI Dependency</t>
  </si>
  <si>
    <t>Strategic</t>
  </si>
  <si>
    <t>Microsoft's AI strategy is structurally dependent on its OpenAI partnership; a deterioration in that relationship or OpenAI's competitive position poses material risk.</t>
  </si>
  <si>
    <t>Cybersecurity Exposure</t>
  </si>
  <si>
    <t>As the world's largest enterprise software provider, MSFT is a high-value target; a major breach could damage trust and trigger regulatory penalties.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</si>
</sst>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4"/>
      <color rgb="FF1F4E79"/>
      <name val="Calibri"/>
      <family val="2"/>
    </font>
    <font>
      <sz val="12"/>
      <color theme="1"/>
      <name val="Calibri"/>
      <family val="2"/>
    </font>
    <font>
      <sz val="9"/>
      <color rgb="FF595959"/>
      <name val="Calibri"/>
      <family val="2"/>
    </font>
    <font>
      <b/>
      <sz val="11"/>
      <color rgb="FFFFFFFF"/>
      <name val="Calibri"/>
      <family val="2"/>
    </font>
    <font>
      <b/>
      <sz val="12"/>
      <color theme="1"/>
      <name val="Calibri"/>
      <family val="2"/>
    </font>
    <font>
      <sz val="12"/>
      <color rgb="FF0000FF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0"/>
      <color theme="1"/>
      <name val="Calibri"/>
      <family val="2"/>
    </font>
    <font>
      <sz val="10"/>
      <color rgb="FF595959"/>
      <name val="Calibri"/>
      <family val="2"/>
    </font>
    <font>
      <b/>
      <sz val="10"/>
      <color rgb="FFFFFFFF"/>
      <name val="Calibri"/>
      <family val="2"/>
    </font>
    <font>
      <b/>
      <sz val="10"/>
      <color theme="1"/>
      <name val="Calibri"/>
      <family val="2"/>
    </font>
    <font>
      <b/>
      <sz val="10"/>
      <color rgb="FF0000FF"/>
      <name val="Calibri"/>
      <family val="2"/>
    </font>
    <font>
      <sz val="10"/>
      <color rgb="FF0000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i/>
      <sz val="10"/>
      <color theme="1"/>
      <name val="Calibri"/>
      <family val="2"/>
    </font>
    <font>
      <b/>
      <sz val="12"/>
      <color rgb="FFFFFFFF"/>
      <name val="Calibri"/>
      <family val="2"/>
    </font>
    <font>
      <sz val="12"/>
      <color rgb="FF008000"/>
      <name val="Calibri"/>
      <family val="2"/>
    </font>
    <font>
      <b/>
      <sz val="10"/>
      <color rgb="FF008000"/>
      <name val="Calibri"/>
      <family val="2"/>
    </font>
    <font>
      <sz val="10"/>
      <color rgb="FF008000"/>
      <name val="Calibri"/>
      <family val="2"/>
    </font>
    <font>
      <b/>
      <sz val="14"/>
      <color theme="1"/>
      <name val="Calibri"/>
      <family val="2"/>
    </font>
    <font>
      <sz val="10"/>
      <color rgb="FFFFFFFF"/>
      <name val="Calibri"/>
      <family val="2"/>
    </font>
    <font>
      <b/>
      <i/>
      <sz val="10"/>
      <color rgb="FFFFFFFF"/>
      <name val="Calibri"/>
      <family val="2"/>
    </font>
    <font>
      <b/>
      <sz val="36"/>
      <color rgb="FF0070C0"/>
      <name val="Calibri"/>
      <family val="2"/>
    </font>
    <font>
      <b/>
      <sz val="20"/>
      <color rgb="FF1F4E79"/>
      <name val="Calibri"/>
      <family val="2"/>
    </font>
    <font>
      <b/>
      <sz val="14"/>
      <color rgb="FF000000"/>
      <name val="Calibri"/>
      <family val="2"/>
    </font>
    <font>
      <b/>
      <sz val="12"/>
      <color rgb="FF1F4E79"/>
      <name val="Calibri"/>
      <family val="2"/>
    </font>
    <font>
      <sz val="12"/>
      <color rgb="FF1A5C00"/>
      <name val="Calibri"/>
      <family val="2"/>
    </font>
    <font>
      <sz val="12"/>
      <color rgb="FF9C5700"/>
      <name val="Calibri"/>
      <family val="2"/>
    </font>
    <font>
      <sz val="12"/>
      <color rgb="FF9C0006"/>
      <name val="Calibri"/>
      <family val="2"/>
    </font>
    <font>
      <b/>
      <sz val="10"/>
      <color rgb="FF9C0006"/>
      <name val="Calibri"/>
      <family val="2"/>
    </font>
    <font>
      <b/>
      <sz val="10"/>
      <color rgb="FF595959"/>
      <name val="Calibri"/>
      <family val="2"/>
    </font>
    <font>
      <sz val="12"/>
      <color rgb="FF595959"/>
      <name val="Aptos Narrow"/>
      <family val="2"/>
      <scheme val="minor"/>
    </font>
    <font>
      <i/>
      <sz val="12"/>
      <color rgb="FF595959"/>
      <name val="Aptos Narrow"/>
      <family val="2"/>
      <scheme val="minor"/>
    </font>
    <font>
      <i/>
      <sz val="9"/>
      <color rgb="FF595959"/>
      <name val="Aptos Narrow"/>
      <family val="2"/>
      <scheme val="minor"/>
    </font>
    <font>
      <i/>
      <sz val="9"/>
      <color rgb="FF595959"/>
      <name val="Calibri"/>
      <family val="2"/>
    </font>
    <font>
      <i/>
      <sz val="10"/>
      <color rgb="FF595959"/>
      <name val="Calibri"/>
      <family val="2"/>
    </font>
    <font>
      <b/>
      <sz val="12"/>
      <color rgb="FF1F4E79"/>
      <name val="Aptos Narrow"/>
      <family val="2"/>
      <scheme val="minor"/>
    </font>
    <font>
      <b/>
      <sz val="22"/>
      <color rgb="FF1F4E79"/>
      <name val="Calibri"/>
      <family val="2"/>
    </font>
    <font>
      <i/>
      <sz val="12"/>
      <color rgb="FF595959"/>
      <name val="Calibri"/>
      <family val="2"/>
    </font>
    <font>
      <b/>
      <sz val="13"/>
      <color rgb="FF1F4E79"/>
      <name val="Calibri"/>
      <family val="2"/>
    </font>
    <font>
      <sz val="10"/>
      <color rgb="FF262626"/>
      <name val="Calibri"/>
      <family val="2"/>
    </font>
    <font>
      <sz val="12"/>
      <color rgb="FFFFFFFF"/>
      <name val="Calibri"/>
      <family val="2"/>
    </font>
    <font>
      <b/>
      <sz val="13"/>
      <color rgb="FF000000"/>
      <name val="Calibri"/>
      <family val="2"/>
    </font>
    <font>
      <b/>
      <sz val="9"/>
      <color rgb="FF595959"/>
      <name val="Calibri"/>
      <family val="2"/>
    </font>
    <font>
      <b/>
      <sz val="11"/>
      <color rgb="FF375623"/>
      <name val="Calibri"/>
      <family val="2"/>
    </font>
    <font>
      <b/>
      <sz val="11"/>
      <color rgb="FF9C0006"/>
      <name val="Calibri"/>
      <family val="2"/>
    </font>
    <font>
      <i/>
      <sz val="8"/>
      <color rgb="FFA5A5A5"/>
      <name val="Calibri"/>
      <family val="2"/>
    </font>
    <font>
      <b/>
      <sz val="11"/>
      <color theme="1"/>
      <name val="Calibri"/>
      <family val="2"/>
    </font>
    <font>
      <b/>
      <sz val="10"/>
      <color rgb="FF9C57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AF2"/>
        <bgColor indexed="64"/>
      </patternFill>
    </fill>
    <fill>
      <patternFill patternType="solid">
        <fgColor rgb="FFFFF2F2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FFE4B5"/>
        <bgColor indexed="64"/>
      </patternFill>
    </fill>
    <fill>
      <patternFill patternType="solid">
        <fgColor rgb="FFFAFA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1F4E79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0" fillId="0" borderId="0" xfId="0"/>
    <xf numFmtId="0" fontId="2" fillId="0" borderId="0" xfId="0" applyFont="1"/>
    <xf numFmtId="0" fontId="1" fillId="4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/>
    </xf>
    <xf numFmtId="0" fontId="6" fillId="3" borderId="0" xfId="0" applyFont="1" applyFill="1"/>
    <xf numFmtId="0" fontId="4" fillId="3" borderId="0" xfId="0" applyFont="1" applyFill="1"/>
    <xf numFmtId="0" fontId="7" fillId="0" borderId="0" xfId="0" applyFont="1"/>
    <xf numFmtId="0" fontId="8" fillId="0" borderId="0" xfId="0" applyFont="1"/>
    <xf numFmtId="0" fontId="7" fillId="4" borderId="0" xfId="0" applyFont="1" applyFill="1"/>
    <xf numFmtId="0" fontId="10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2" borderId="0" xfId="0" applyFont="1" applyFill="1" applyAlignment="1">
      <alignment horizontal="center"/>
    </xf>
    <xf numFmtId="0" fontId="13" fillId="3" borderId="0" xfId="0" applyFont="1" applyFill="1"/>
    <xf numFmtId="0" fontId="11" fillId="3" borderId="0" xfId="0" applyFont="1" applyFill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4" fillId="4" borderId="0" xfId="0" applyFont="1" applyFill="1"/>
    <xf numFmtId="0" fontId="17" fillId="4" borderId="0" xfId="0" applyFont="1" applyFill="1"/>
    <xf numFmtId="0" fontId="18" fillId="0" borderId="0" xfId="0" applyFont="1"/>
    <xf numFmtId="0" fontId="17" fillId="0" borderId="0" xfId="0" applyFont="1"/>
    <xf numFmtId="0" fontId="15" fillId="4" borderId="0" xfId="0" applyFont="1" applyFill="1"/>
    <xf numFmtId="0" fontId="19" fillId="0" borderId="0" xfId="0" applyFont="1"/>
    <xf numFmtId="0" fontId="20" fillId="2" borderId="0" xfId="0" applyFont="1" applyFill="1"/>
    <xf numFmtId="0" fontId="4" fillId="2" borderId="0" xfId="0" applyFont="1" applyFill="1"/>
    <xf numFmtId="0" fontId="20" fillId="3" borderId="0" xfId="0" applyFont="1" applyFill="1"/>
    <xf numFmtId="0" fontId="13" fillId="2" borderId="0" xfId="0" applyFont="1" applyFill="1"/>
    <xf numFmtId="0" fontId="11" fillId="2" borderId="0" xfId="0" applyFont="1" applyFill="1"/>
    <xf numFmtId="0" fontId="7" fillId="5" borderId="0" xfId="0" applyFont="1" applyFill="1"/>
    <xf numFmtId="0" fontId="11" fillId="6" borderId="0" xfId="0" applyFont="1" applyFill="1"/>
    <xf numFmtId="0" fontId="22" fillId="6" borderId="0" xfId="0" applyFont="1" applyFill="1"/>
    <xf numFmtId="0" fontId="11" fillId="0" borderId="0" xfId="0" applyFont="1" applyAlignment="1">
      <alignment indent="2"/>
    </xf>
    <xf numFmtId="0" fontId="11" fillId="6" borderId="0" xfId="0" applyFont="1" applyFill="1"/>
    <xf numFmtId="0" fontId="14" fillId="5" borderId="0" xfId="0" applyFont="1" applyFill="1"/>
    <xf numFmtId="0" fontId="17" fillId="5" borderId="0" xfId="0" applyFont="1" applyFill="1"/>
    <xf numFmtId="0" fontId="23" fillId="6" borderId="0" xfId="0" applyFont="1" applyFill="1"/>
    <xf numFmtId="0" fontId="18" fillId="6" borderId="0" xfId="0" applyFont="1" applyFill="1"/>
    <xf numFmtId="0" fontId="14" fillId="6" borderId="0" xfId="0" applyFont="1" applyFill="1"/>
    <xf numFmtId="0" fontId="21" fillId="0" borderId="0" xfId="0" applyFont="1"/>
    <xf numFmtId="0" fontId="20" fillId="7" borderId="0" xfId="0" applyFont="1" applyFill="1"/>
    <xf numFmtId="0" fontId="14" fillId="4" borderId="0" xfId="0" applyFont="1" applyFill="1" applyAlignment="1">
      <alignment horizontal="center"/>
    </xf>
    <xf numFmtId="0" fontId="23" fillId="0" borderId="0" xfId="0" applyFont="1"/>
    <xf numFmtId="0" fontId="13" fillId="3" borderId="0" xfId="0" applyFont="1" applyFill="1"/>
    <xf numFmtId="0" fontId="13" fillId="2" borderId="0" xfId="0" applyFont="1" applyFill="1"/>
    <xf numFmtId="0" fontId="14" fillId="8" borderId="0" xfId="0" applyFont="1" applyFill="1"/>
    <xf numFmtId="0" fontId="25" fillId="2" borderId="0" xfId="0" applyFont="1" applyFill="1"/>
    <xf numFmtId="0" fontId="18" fillId="5" borderId="0" xfId="0" applyFont="1" applyFill="1"/>
    <xf numFmtId="0" fontId="11" fillId="5" borderId="0" xfId="0" applyFont="1" applyFill="1"/>
    <xf numFmtId="0" fontId="26" fillId="2" borderId="0" xfId="0" applyFont="1" applyFill="1"/>
    <xf numFmtId="0" fontId="27" fillId="0" borderId="0" xfId="0" applyFont="1"/>
    <xf numFmtId="0" fontId="28" fillId="0" borderId="0" xfId="0" applyFont="1"/>
    <xf numFmtId="0" fontId="24" fillId="0" borderId="0" xfId="0" applyFont="1"/>
    <xf numFmtId="0" fontId="29" fillId="8" borderId="0" xfId="0" applyFont="1" applyFill="1"/>
    <xf numFmtId="0" fontId="30" fillId="0" borderId="0" xfId="0" applyFont="1"/>
    <xf numFmtId="0" fontId="4" fillId="0" borderId="1" xfId="0" applyFont="1" applyBorder="1"/>
    <xf numFmtId="0" fontId="13" fillId="5" borderId="0" xfId="0" applyFont="1" applyFill="1"/>
    <xf numFmtId="0" fontId="6" fillId="2" borderId="0" xfId="0" applyFont="1" applyFill="1"/>
    <xf numFmtId="0" fontId="31" fillId="9" borderId="0" xfId="0" applyFont="1" applyFill="1"/>
    <xf numFmtId="0" fontId="32" fillId="10" borderId="0" xfId="0" applyFont="1" applyFill="1"/>
    <xf numFmtId="0" fontId="33" fillId="11" borderId="0" xfId="0" applyFont="1" applyFill="1"/>
    <xf numFmtId="0" fontId="35" fillId="0" borderId="0" xfId="0" applyFont="1"/>
    <xf numFmtId="0" fontId="35" fillId="5" borderId="0" xfId="0" applyFont="1" applyFill="1"/>
    <xf numFmtId="0" fontId="35" fillId="3" borderId="0" xfId="0" applyFont="1" applyFill="1"/>
    <xf numFmtId="0" fontId="11" fillId="12" borderId="0" xfId="0" applyFont="1" applyFill="1"/>
    <xf numFmtId="0" fontId="23" fillId="12" borderId="0" xfId="0" applyFont="1" applyFill="1"/>
    <xf numFmtId="0" fontId="18" fillId="12" borderId="0" xfId="0" applyFont="1" applyFill="1"/>
    <xf numFmtId="0" fontId="36" fillId="0" borderId="0" xfId="0" applyFont="1"/>
    <xf numFmtId="0" fontId="37" fillId="0" borderId="0" xfId="0" applyFont="1"/>
    <xf numFmtId="0" fontId="11" fillId="0" borderId="0" xfId="0" applyFont="1"/>
    <xf numFmtId="0" fontId="38" fillId="0" borderId="0" xfId="0" applyFont="1"/>
    <xf numFmtId="0" fontId="4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4" borderId="0" xfId="0" applyFont="1" applyFill="1"/>
    <xf numFmtId="0" fontId="4" fillId="4" borderId="0" xfId="0" applyFont="1" applyFill="1"/>
    <xf numFmtId="0" fontId="4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6" fillId="7" borderId="0" xfId="0" applyFont="1" applyFill="1"/>
    <xf numFmtId="0" fontId="5" fillId="7" borderId="0" xfId="0" applyFont="1" applyFill="1"/>
    <xf numFmtId="0" fontId="47" fillId="8" borderId="0" xfId="0" applyFont="1" applyFill="1"/>
    <xf numFmtId="0" fontId="48" fillId="0" borderId="0" xfId="0" applyFont="1"/>
    <xf numFmtId="0" fontId="7" fillId="11" borderId="0" xfId="0" applyFont="1" applyFill="1"/>
    <xf numFmtId="0" fontId="7" fillId="10" borderId="0" xfId="0" applyFont="1" applyFill="1"/>
    <xf numFmtId="0" fontId="7" fillId="13" borderId="0" xfId="0" applyFont="1" applyFill="1"/>
    <xf numFmtId="10" fontId="4" fillId="0" borderId="0" xfId="0" applyNumberFormat="1" applyFont="1"/>
    <xf numFmtId="0" fontId="39" fillId="0" borderId="0" xfId="0" applyFont="1" applyAlignment="1">
      <alignment wrapText="1"/>
    </xf>
    <xf numFmtId="0" fontId="49" fillId="13" borderId="0" xfId="0" applyFont="1" applyFill="1" applyAlignment="1">
      <alignment wrapText="1"/>
    </xf>
    <xf numFmtId="0" fontId="4" fillId="13" borderId="0" xfId="0" applyFont="1" applyFill="1"/>
    <xf numFmtId="0" fontId="50" fillId="11" borderId="0" xfId="0" applyFont="1" applyFill="1" applyAlignment="1">
      <alignment wrapText="1"/>
    </xf>
    <xf numFmtId="0" fontId="4" fillId="11" borderId="0" xfId="0" applyFont="1" applyFill="1"/>
    <xf numFmtId="0" fontId="18" fillId="14" borderId="0" xfId="0" applyFont="1" applyFill="1" applyAlignment="1">
      <alignment wrapText="1"/>
    </xf>
    <xf numFmtId="0" fontId="4" fillId="14" borderId="0" xfId="0" applyFont="1" applyFill="1"/>
    <xf numFmtId="0" fontId="18" fillId="15" borderId="0" xfId="0" applyFont="1" applyFill="1" applyAlignment="1">
      <alignment wrapText="1"/>
    </xf>
    <xf numFmtId="0" fontId="4" fillId="15" borderId="0" xfId="0" applyFont="1" applyFill="1"/>
    <xf numFmtId="0" fontId="51" fillId="0" borderId="0" xfId="0" applyFont="1" applyAlignment="1">
      <alignment wrapText="1"/>
    </xf>
    <xf numFmtId="0" fontId="52" fillId="0" borderId="0" xfId="0" applyFont="1"/>
    <xf numFmtId="0" fontId="9" fillId="8" borderId="0" xfId="0" applyFont="1" applyFill="1"/>
    <xf numFmtId="0" fontId="7" fillId="8" borderId="0" xfId="0" applyFont="1" applyFill="1"/>
    <xf numFmtId="0" fontId="10" fillId="16" borderId="0" xfId="0" applyFont="1" applyFill="1"/>
    <xf numFmtId="0" fontId="39" fillId="6" borderId="0" xfId="0" applyFont="1" applyFill="1"/>
    <xf numFmtId="0" fontId="11" fillId="17" borderId="0" xfId="0" applyFont="1" applyFill="1"/>
    <xf numFmtId="10" fontId="14" fillId="6" borderId="0" xfId="0" applyNumberFormat="1" applyFont="1" applyFill="1"/>
    <xf numFmtId="0" fontId="14" fillId="12" borderId="0" xfId="0" applyFont="1" applyFill="1"/>
    <xf numFmtId="0" fontId="17" fillId="8" borderId="0" xfId="0" applyFont="1" applyFill="1"/>
    <xf numFmtId="0" fontId="14" fillId="18" borderId="0" xfId="0" applyFont="1" applyFill="1"/>
    <xf numFmtId="0" fontId="34" fillId="18" borderId="0" xfId="0" applyFont="1" applyFill="1" applyAlignment="1">
      <alignment horizontal="center"/>
    </xf>
    <xf numFmtId="0" fontId="12" fillId="18" borderId="0" xfId="0" applyFont="1" applyFill="1"/>
    <xf numFmtId="0" fontId="45" fillId="0" borderId="0" xfId="0" applyFont="1"/>
    <xf numFmtId="0" fontId="34" fillId="11" borderId="0" xfId="0" applyFont="1" applyFill="1" applyAlignment="1">
      <alignment horizontal="center"/>
    </xf>
    <xf numFmtId="0" fontId="53" fillId="18" borderId="0" xfId="0" applyFont="1" applyFill="1" applyAlignment="1">
      <alignment horizontal="center"/>
    </xf>
    <xf numFmtId="0" fontId="53" fillId="10" borderId="0" xfId="0" applyFont="1" applyFill="1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1A5C00"/>
      </font>
      <fill>
        <patternFill patternType="solid">
          <fgColor indexed="64"/>
          <bgColor rgb="FF92D05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1A5C00"/>
      </font>
      <fill>
        <patternFill patternType="solid">
          <fgColor indexed="64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DCF Value Bridge: PV of FCFs &amp; Terminal Value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Summary!$B$20</c:f>
              <c:strCache>
                <c:ptCount val="1"/>
                <c:pt idx="0">
                  <c:v>PV ($M)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Summary!$A$21:$A$26</c:f>
              <c:strCache>
                <c:ptCount val="6"/>
                <c:pt idx="0">
                  <c:v>FY2025E</c:v>
                </c:pt>
                <c:pt idx="1">
                  <c:v>FY2026E</c:v>
                </c:pt>
                <c:pt idx="2">
                  <c:v>FY2027E</c:v>
                </c:pt>
                <c:pt idx="3">
                  <c:v>FY2028E</c:v>
                </c:pt>
                <c:pt idx="4">
                  <c:v>FY2029E</c:v>
                </c:pt>
                <c:pt idx="5">
                  <c:v>PV of Terminal Value</c:v>
                </c:pt>
              </c:strCache>
            </c:strRef>
          </c:cat>
          <c:val>
            <c:numRef>
              <c:f>Summary!$B$21:$B$26</c:f>
              <c:numCache>
                <c:formatCode>General</c:formatCode>
                <c:ptCount val="6"/>
                <c:pt idx="0">
                  <c:v>96578.519619077473</c:v>
                </c:pt>
                <c:pt idx="1">
                  <c:v>101030.26678460269</c:v>
                </c:pt>
                <c:pt idx="2">
                  <c:v>104760.52503365371</c:v>
                </c:pt>
                <c:pt idx="3">
                  <c:v>107667.61021460942</c:v>
                </c:pt>
                <c:pt idx="4">
                  <c:v>109667.80289318929</c:v>
                </c:pt>
                <c:pt idx="5">
                  <c:v>1882630.6163330832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FC-AA4C-8A34-8FE526055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3227664"/>
        <c:axId val="1988525359"/>
      </c:barChart>
      <c:catAx>
        <c:axId val="150322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525359"/>
        <c:crosses val="autoZero"/>
        <c:auto val="1"/>
        <c:lblAlgn val="ctr"/>
        <c:lblOffset val="100"/>
        <c:noMultiLvlLbl val="0"/>
      </c:catAx>
      <c:valAx>
        <c:axId val="198852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22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Valuation Football Field — Implied Share Price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Base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Summary!$E$46:$E$49</c:f>
              <c:strCache>
                <c:ptCount val="4"/>
                <c:pt idx="0">
                  <c:v>DCF (Sensitivity Range)</c:v>
                </c:pt>
                <c:pt idx="1">
                  <c:v>EV/EBITDA Comps (25th–75th)</c:v>
                </c:pt>
                <c:pt idx="2">
                  <c:v>P/E Comps (25th–75th)</c:v>
                </c:pt>
                <c:pt idx="3">
                  <c:v>DCF Base Case</c:v>
                </c:pt>
              </c:strCache>
            </c:strRef>
          </c:cat>
          <c:val>
            <c:numRef>
              <c:f>Summary!$F$46:$F$49</c:f>
              <c:numCache>
                <c:formatCode>General</c:formatCode>
                <c:ptCount val="4"/>
                <c:pt idx="0">
                  <c:v>215.59408280380066</c:v>
                </c:pt>
                <c:pt idx="1">
                  <c:v>325.8052702620912</c:v>
                </c:pt>
                <c:pt idx="2">
                  <c:v>377.68883935919905</c:v>
                </c:pt>
                <c:pt idx="3">
                  <c:v>326.82844426355524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9A-E74D-A645-A387BBC7838B}"/>
            </c:ext>
          </c:extLst>
        </c:ser>
        <c:ser>
          <c:idx val="1"/>
          <c:order val="1"/>
          <c:tx>
            <c:v>Price Range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Summary!$E$46:$E$49</c:f>
              <c:strCache>
                <c:ptCount val="4"/>
                <c:pt idx="0">
                  <c:v>DCF (Sensitivity Range)</c:v>
                </c:pt>
                <c:pt idx="1">
                  <c:v>EV/EBITDA Comps (25th–75th)</c:v>
                </c:pt>
                <c:pt idx="2">
                  <c:v>P/E Comps (25th–75th)</c:v>
                </c:pt>
                <c:pt idx="3">
                  <c:v>DCF Base Case</c:v>
                </c:pt>
              </c:strCache>
            </c:strRef>
          </c:cat>
          <c:val>
            <c:numRef>
              <c:f>Summary!$G$46:$G$49</c:f>
              <c:numCache>
                <c:formatCode>General</c:formatCode>
                <c:ptCount val="4"/>
                <c:pt idx="0">
                  <c:v>531.86997108424362</c:v>
                </c:pt>
                <c:pt idx="1">
                  <c:v>91.71473134045749</c:v>
                </c:pt>
                <c:pt idx="2">
                  <c:v>195.63082866618061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9A-E74D-A645-A387BBC78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7209887"/>
        <c:axId val="782631647"/>
      </c:barChart>
      <c:catAx>
        <c:axId val="927209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31647"/>
        <c:crosses val="autoZero"/>
        <c:auto val="1"/>
        <c:lblAlgn val="ctr"/>
        <c:lblOffset val="100"/>
        <c:noMultiLvlLbl val="0"/>
      </c:catAx>
      <c:valAx>
        <c:axId val="782631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209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0</xdr:rowOff>
    </xdr:from>
    <xdr:to>
      <xdr:col>6</xdr:col>
      <xdr:colOff>0</xdr:colOff>
      <xdr:row>41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62AB1F-E6F6-7666-1F12-F745C36578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6</xdr:col>
      <xdr:colOff>0</xdr:colOff>
      <xdr:row>58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B8595F-EDD9-DB0E-E513-242889281E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A659F9B-A4A5-1E49-B8E3-D27B0BAE44E7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a8c98462-78a1-4606-868e-a26d26936484&quot;"/>
  </we:properties>
  <we:bindings/>
  <we:snapshot xmlns:r="http://schemas.openxmlformats.org/officeDocument/2006/relationships"/>
</we:webextension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9DEEC-7CDC-C141-ADCA-83B6D874E8DB}">
  <sheetPr>
    <tabColor rgb="FF808080"/>
  </sheetPr>
  <dimension ref="A1:D40"/>
  <sheetViews>
    <sheetView workbookViewId="0">
      <pane ySplit="4" topLeftCell="A5" activePane="bottomLeft" state="frozen"/>
      <selection pane="bottomLeft"/>
    </sheetView>
  </sheetViews>
  <sheetFormatPr baseColWidth="10" defaultRowHeight="16" x14ac:dyDescent="0.2"/>
  <cols>
    <col min="1" max="1" width="38.33203125" customWidth="1"/>
    <col min="2" max="4" width="15" customWidth="1"/>
  </cols>
  <sheetData>
    <row r="1" spans="1:4" ht="19" x14ac:dyDescent="0.25">
      <c r="A1" s="4" t="s">
        <v>0</v>
      </c>
      <c r="B1" s="15"/>
      <c r="C1" s="15"/>
      <c r="D1" s="15"/>
    </row>
    <row r="2" spans="1:4" x14ac:dyDescent="0.2">
      <c r="A2" s="16" t="s">
        <v>1</v>
      </c>
      <c r="B2" s="15"/>
      <c r="C2" s="15"/>
      <c r="D2" s="15"/>
    </row>
    <row r="3" spans="1:4" x14ac:dyDescent="0.2">
      <c r="A3" s="15"/>
      <c r="B3" s="15"/>
      <c r="C3" s="15"/>
      <c r="D3" s="15"/>
    </row>
    <row r="4" spans="1:4" x14ac:dyDescent="0.2">
      <c r="A4" s="7"/>
      <c r="B4" s="7" t="s">
        <v>2</v>
      </c>
      <c r="C4" s="7" t="s">
        <v>3</v>
      </c>
      <c r="D4" s="7" t="s">
        <v>4</v>
      </c>
    </row>
    <row r="5" spans="1:4" x14ac:dyDescent="0.2">
      <c r="A5" s="18" t="s">
        <v>5</v>
      </c>
      <c r="B5" s="19"/>
      <c r="C5" s="19"/>
      <c r="D5" s="19"/>
    </row>
    <row r="6" spans="1:4" x14ac:dyDescent="0.2">
      <c r="A6" s="20" t="s">
        <v>6</v>
      </c>
      <c r="B6" s="21">
        <v>198270</v>
      </c>
      <c r="C6" s="21">
        <v>211915</v>
      </c>
      <c r="D6" s="21">
        <v>245122</v>
      </c>
    </row>
    <row r="7" spans="1:4" x14ac:dyDescent="0.2">
      <c r="A7" s="15" t="s">
        <v>7</v>
      </c>
      <c r="B7" s="22">
        <v>62650</v>
      </c>
      <c r="C7" s="22">
        <v>65863</v>
      </c>
      <c r="D7" s="22">
        <v>74114</v>
      </c>
    </row>
    <row r="8" spans="1:4" x14ac:dyDescent="0.2">
      <c r="A8" s="23" t="s">
        <v>8</v>
      </c>
      <c r="B8" s="24">
        <f>B6-B7</f>
        <v>135620</v>
      </c>
      <c r="C8" s="24">
        <f>C6-C7</f>
        <v>146052</v>
      </c>
      <c r="D8" s="24">
        <f>D6-D7</f>
        <v>171008</v>
      </c>
    </row>
    <row r="9" spans="1:4" x14ac:dyDescent="0.2">
      <c r="A9" s="15" t="s">
        <v>9</v>
      </c>
      <c r="B9" s="25">
        <f>B8/B6</f>
        <v>0.68401674484289099</v>
      </c>
      <c r="C9" s="25">
        <f>C8/C6</f>
        <v>0.68920085883491022</v>
      </c>
      <c r="D9" s="25">
        <f>D8/D6</f>
        <v>0.69764443827971379</v>
      </c>
    </row>
    <row r="10" spans="1:4" x14ac:dyDescent="0.2">
      <c r="A10" s="15"/>
      <c r="B10" s="15"/>
      <c r="C10" s="15"/>
      <c r="D10" s="15"/>
    </row>
    <row r="11" spans="1:4" x14ac:dyDescent="0.2">
      <c r="A11" s="15" t="s">
        <v>10</v>
      </c>
      <c r="B11" s="22">
        <v>24512</v>
      </c>
      <c r="C11" s="22">
        <v>27195</v>
      </c>
      <c r="D11" s="22">
        <v>29510</v>
      </c>
    </row>
    <row r="12" spans="1:4" x14ac:dyDescent="0.2">
      <c r="A12" s="15" t="s">
        <v>11</v>
      </c>
      <c r="B12" s="22">
        <v>21825</v>
      </c>
      <c r="C12" s="22">
        <v>22759</v>
      </c>
      <c r="D12" s="22">
        <v>24456</v>
      </c>
    </row>
    <row r="13" spans="1:4" x14ac:dyDescent="0.2">
      <c r="A13" s="15" t="s">
        <v>12</v>
      </c>
      <c r="B13" s="22">
        <v>5900</v>
      </c>
      <c r="C13" s="22">
        <v>7575</v>
      </c>
      <c r="D13" s="22">
        <v>7609</v>
      </c>
    </row>
    <row r="14" spans="1:4" x14ac:dyDescent="0.2">
      <c r="A14" s="20" t="s">
        <v>13</v>
      </c>
      <c r="B14" s="26">
        <f>B11+B12+B13</f>
        <v>52237</v>
      </c>
      <c r="C14" s="26">
        <f>C11+C12+C13</f>
        <v>57529</v>
      </c>
      <c r="D14" s="26">
        <f>D11+D12+D13</f>
        <v>61575</v>
      </c>
    </row>
    <row r="15" spans="1:4" x14ac:dyDescent="0.2">
      <c r="A15" s="15"/>
      <c r="B15" s="15"/>
      <c r="C15" s="15"/>
      <c r="D15" s="15"/>
    </row>
    <row r="16" spans="1:4" x14ac:dyDescent="0.2">
      <c r="A16" s="23" t="s">
        <v>14</v>
      </c>
      <c r="B16" s="27">
        <v>83383</v>
      </c>
      <c r="C16" s="27">
        <v>88523</v>
      </c>
      <c r="D16" s="27">
        <v>109433</v>
      </c>
    </row>
    <row r="17" spans="1:4" x14ac:dyDescent="0.2">
      <c r="A17" s="15" t="s">
        <v>15</v>
      </c>
      <c r="B17" s="25">
        <f>B16/B6</f>
        <v>0.4205527815604983</v>
      </c>
      <c r="C17" s="25">
        <f>C16/C6</f>
        <v>0.41772880636104098</v>
      </c>
      <c r="D17" s="25">
        <f>D16/D6</f>
        <v>0.44644299573273716</v>
      </c>
    </row>
    <row r="18" spans="1:4" x14ac:dyDescent="0.2">
      <c r="A18" s="15"/>
      <c r="B18" s="15"/>
      <c r="C18" s="15"/>
      <c r="D18" s="15"/>
    </row>
    <row r="19" spans="1:4" x14ac:dyDescent="0.2">
      <c r="A19" s="20" t="s">
        <v>16</v>
      </c>
      <c r="B19" s="21">
        <v>83716</v>
      </c>
      <c r="C19" s="21">
        <v>89311</v>
      </c>
      <c r="D19" s="21">
        <v>107787</v>
      </c>
    </row>
    <row r="20" spans="1:4" x14ac:dyDescent="0.2">
      <c r="A20" s="15" t="s">
        <v>17</v>
      </c>
      <c r="B20" s="22">
        <v>10978</v>
      </c>
      <c r="C20" s="22">
        <v>16950</v>
      </c>
      <c r="D20" s="22">
        <v>19651</v>
      </c>
    </row>
    <row r="21" spans="1:4" x14ac:dyDescent="0.2">
      <c r="A21" s="15" t="s">
        <v>18</v>
      </c>
      <c r="B21" s="25">
        <f>B20/B19</f>
        <v>0.13113383343685794</v>
      </c>
      <c r="C21" s="25">
        <f>C20/C19</f>
        <v>0.18978625253328257</v>
      </c>
      <c r="D21" s="25">
        <f>D20/D19</f>
        <v>0.18231326597827197</v>
      </c>
    </row>
    <row r="22" spans="1:4" x14ac:dyDescent="0.2">
      <c r="A22" s="15"/>
      <c r="B22" s="15"/>
      <c r="C22" s="15"/>
      <c r="D22" s="15"/>
    </row>
    <row r="23" spans="1:4" x14ac:dyDescent="0.2">
      <c r="A23" s="23" t="s">
        <v>19</v>
      </c>
      <c r="B23" s="24">
        <f>B16*(1-B21)</f>
        <v>72448.667566534481</v>
      </c>
      <c r="C23" s="24">
        <f>C16*(1-C21)</f>
        <v>71722.551566996233</v>
      </c>
      <c r="D23" s="24">
        <f>D16*(1-D21)</f>
        <v>89481.912364199758</v>
      </c>
    </row>
    <row r="24" spans="1:4" x14ac:dyDescent="0.2">
      <c r="A24" s="15"/>
      <c r="B24" s="15"/>
      <c r="C24" s="15"/>
      <c r="D24" s="15"/>
    </row>
    <row r="25" spans="1:4" x14ac:dyDescent="0.2">
      <c r="A25" s="8" t="s">
        <v>20</v>
      </c>
      <c r="B25" s="19"/>
      <c r="C25" s="19"/>
      <c r="D25" s="19"/>
    </row>
    <row r="26" spans="1:4" x14ac:dyDescent="0.2">
      <c r="A26" s="20" t="s">
        <v>21</v>
      </c>
      <c r="B26" s="25">
        <f>B23</f>
        <v>72448.667566534481</v>
      </c>
      <c r="C26" s="25">
        <f>C23</f>
        <v>71722.551566996233</v>
      </c>
      <c r="D26" s="25">
        <f>D23</f>
        <v>89481.912364199758</v>
      </c>
    </row>
    <row r="27" spans="1:4" x14ac:dyDescent="0.2">
      <c r="A27" s="15" t="s">
        <v>22</v>
      </c>
      <c r="B27" s="22">
        <v>14460</v>
      </c>
      <c r="C27" s="22">
        <v>13861</v>
      </c>
      <c r="D27" s="22">
        <v>22287</v>
      </c>
    </row>
    <row r="28" spans="1:4" x14ac:dyDescent="0.2">
      <c r="A28" s="15" t="s">
        <v>23</v>
      </c>
      <c r="B28" s="22">
        <v>23886</v>
      </c>
      <c r="C28" s="22">
        <v>28107</v>
      </c>
      <c r="D28" s="22">
        <v>44477</v>
      </c>
    </row>
    <row r="29" spans="1:4" x14ac:dyDescent="0.2">
      <c r="A29" s="15" t="s">
        <v>24</v>
      </c>
      <c r="B29" s="22">
        <v>-1730</v>
      </c>
      <c r="C29" s="22">
        <v>-250</v>
      </c>
      <c r="D29" s="22">
        <v>-6205</v>
      </c>
    </row>
    <row r="30" spans="1:4" x14ac:dyDescent="0.2">
      <c r="A30" s="15"/>
      <c r="B30" s="15"/>
      <c r="C30" s="15"/>
      <c r="D30" s="15"/>
    </row>
    <row r="31" spans="1:4" x14ac:dyDescent="0.2">
      <c r="A31" s="23" t="s">
        <v>25</v>
      </c>
      <c r="B31" s="24">
        <f>B26+B27-B28-B29</f>
        <v>64752.667566534481</v>
      </c>
      <c r="C31" s="24">
        <f>C26+C27-C28-C29</f>
        <v>57726.551566996233</v>
      </c>
      <c r="D31" s="24">
        <f>D26+D27-D28-D29</f>
        <v>73496.912364199758</v>
      </c>
    </row>
    <row r="32" spans="1:4" x14ac:dyDescent="0.2">
      <c r="A32" s="28" t="s">
        <v>26</v>
      </c>
      <c r="B32" s="25">
        <f>B31/B6</f>
        <v>0.32658832686001149</v>
      </c>
      <c r="C32" s="25">
        <f>C31/C6</f>
        <v>0.27240427325576877</v>
      </c>
      <c r="D32" s="25">
        <f>D31/D6</f>
        <v>0.29983809027422981</v>
      </c>
    </row>
    <row r="33" spans="1:4" x14ac:dyDescent="0.2">
      <c r="A33" s="15"/>
      <c r="B33" s="15"/>
      <c r="C33" s="15"/>
      <c r="D33" s="15"/>
    </row>
    <row r="34" spans="1:4" x14ac:dyDescent="0.2">
      <c r="A34" s="15"/>
      <c r="B34" s="15"/>
      <c r="C34" s="15"/>
      <c r="D34" s="15"/>
    </row>
    <row r="35" spans="1:4" x14ac:dyDescent="0.2">
      <c r="A35" s="15"/>
      <c r="B35" s="15"/>
      <c r="C35" s="15"/>
      <c r="D35" s="15"/>
    </row>
    <row r="36" spans="1:4" x14ac:dyDescent="0.2">
      <c r="A36" s="15"/>
      <c r="B36" s="15"/>
      <c r="C36" s="15"/>
      <c r="D36" s="15"/>
    </row>
    <row r="37" spans="1:4" x14ac:dyDescent="0.2">
      <c r="A37" s="15"/>
      <c r="B37" s="15"/>
      <c r="C37" s="15"/>
      <c r="D37" s="15"/>
    </row>
    <row r="38" spans="1:4" x14ac:dyDescent="0.2">
      <c r="A38" s="15"/>
      <c r="B38" s="15"/>
      <c r="C38" s="15"/>
      <c r="D38" s="15"/>
    </row>
    <row r="39" spans="1:4" x14ac:dyDescent="0.2">
      <c r="A39" s="15"/>
      <c r="B39" s="15"/>
      <c r="C39" s="15"/>
      <c r="D39" s="15"/>
    </row>
    <row r="40" spans="1:4" x14ac:dyDescent="0.2">
      <c r="A40" s="15"/>
      <c r="B40" s="15"/>
      <c r="C40" s="15"/>
      <c r="D40" s="15"/>
    </row>
  </sheetData>
  <mergeCells count="2">
    <mergeCell ref="A5:D5"/>
    <mergeCell ref="A25:D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BAC46-458A-A948-89A9-5AE4F007FB2E}">
  <sheetPr>
    <tabColor rgb="FF0070C0"/>
  </sheetPr>
  <dimension ref="A1:E56"/>
  <sheetViews>
    <sheetView workbookViewId="0">
      <pane ySplit="2" topLeftCell="A27" activePane="bottomLeft" state="frozen"/>
      <selection pane="bottomLeft" activeCell="H25" sqref="H25"/>
    </sheetView>
  </sheetViews>
  <sheetFormatPr baseColWidth="10" defaultRowHeight="16" x14ac:dyDescent="0.2"/>
  <cols>
    <col min="1" max="1" width="36.6640625" customWidth="1"/>
    <col min="2" max="4" width="15" customWidth="1"/>
    <col min="5" max="5" width="16.6640625" customWidth="1"/>
  </cols>
  <sheetData>
    <row r="1" spans="1:5" x14ac:dyDescent="0.2">
      <c r="A1" s="29" t="s">
        <v>284</v>
      </c>
      <c r="B1" s="30"/>
      <c r="C1" s="30"/>
      <c r="D1" s="30"/>
      <c r="E1" s="30"/>
    </row>
    <row r="2" spans="1:5" x14ac:dyDescent="0.2">
      <c r="A2" s="103" t="s">
        <v>285</v>
      </c>
      <c r="B2" s="104" t="s">
        <v>261</v>
      </c>
      <c r="C2" s="5"/>
      <c r="D2" s="5"/>
      <c r="E2" s="5"/>
    </row>
    <row r="3" spans="1:5" x14ac:dyDescent="0.2">
      <c r="A3" s="5"/>
      <c r="B3" s="5"/>
      <c r="C3" s="5"/>
      <c r="D3" s="5"/>
      <c r="E3" s="5"/>
    </row>
    <row r="4" spans="1:5" x14ac:dyDescent="0.2">
      <c r="A4" s="31" t="s">
        <v>286</v>
      </c>
      <c r="B4" s="9"/>
      <c r="C4" s="9"/>
      <c r="D4" s="9"/>
      <c r="E4" s="9"/>
    </row>
    <row r="5" spans="1:5" x14ac:dyDescent="0.2">
      <c r="A5" s="12" t="s">
        <v>30</v>
      </c>
      <c r="B5" s="12" t="s">
        <v>260</v>
      </c>
      <c r="C5" s="12" t="s">
        <v>261</v>
      </c>
      <c r="D5" s="12" t="s">
        <v>262</v>
      </c>
      <c r="E5" s="105" t="s">
        <v>287</v>
      </c>
    </row>
    <row r="6" spans="1:5" x14ac:dyDescent="0.2">
      <c r="A6" s="5" t="s">
        <v>288</v>
      </c>
      <c r="B6" s="11">
        <v>0.1</v>
      </c>
      <c r="C6" s="11">
        <v>0.15</v>
      </c>
      <c r="D6" s="11">
        <v>0.18</v>
      </c>
      <c r="E6" s="106">
        <f>CHOOSE(MATCH($B$2,{"Bear Case","Base Case","Bull Case"},0),B6,C6,D6)</f>
        <v>0.15</v>
      </c>
    </row>
    <row r="7" spans="1:5" x14ac:dyDescent="0.2">
      <c r="A7" s="5" t="s">
        <v>289</v>
      </c>
      <c r="B7" s="11">
        <v>0.09</v>
      </c>
      <c r="C7" s="11">
        <v>0.14000000000000001</v>
      </c>
      <c r="D7" s="11">
        <v>0.17</v>
      </c>
      <c r="E7" s="106">
        <f>CHOOSE(MATCH($B$2,{"Bear Case","Base Case","Bull Case"},0),B7,C7,D7)</f>
        <v>0.14000000000000001</v>
      </c>
    </row>
    <row r="8" spans="1:5" x14ac:dyDescent="0.2">
      <c r="A8" s="5" t="s">
        <v>290</v>
      </c>
      <c r="B8" s="11">
        <v>0.08</v>
      </c>
      <c r="C8" s="11">
        <v>0.13</v>
      </c>
      <c r="D8" s="11">
        <v>0.15</v>
      </c>
      <c r="E8" s="106">
        <f>CHOOSE(MATCH($B$2,{"Bear Case","Base Case","Bull Case"},0),B8,C8,D8)</f>
        <v>0.13</v>
      </c>
    </row>
    <row r="9" spans="1:5" x14ac:dyDescent="0.2">
      <c r="A9" s="5" t="s">
        <v>291</v>
      </c>
      <c r="B9" s="11">
        <v>7.0000000000000007E-2</v>
      </c>
      <c r="C9" s="11">
        <v>0.12</v>
      </c>
      <c r="D9" s="11">
        <v>0.13</v>
      </c>
      <c r="E9" s="106">
        <f>CHOOSE(MATCH($B$2,{"Bear Case","Base Case","Bull Case"},0),B9,C9,D9)</f>
        <v>0.12</v>
      </c>
    </row>
    <row r="10" spans="1:5" x14ac:dyDescent="0.2">
      <c r="A10" s="5" t="s">
        <v>292</v>
      </c>
      <c r="B10" s="11">
        <v>0.06</v>
      </c>
      <c r="C10" s="11">
        <v>0.11</v>
      </c>
      <c r="D10" s="11">
        <v>0.11</v>
      </c>
      <c r="E10" s="106">
        <f>CHOOSE(MATCH($B$2,{"Bear Case","Base Case","Bull Case"},0),B10,C10,D10)</f>
        <v>0.11</v>
      </c>
    </row>
    <row r="11" spans="1:5" x14ac:dyDescent="0.2">
      <c r="A11" s="5" t="s">
        <v>53</v>
      </c>
      <c r="B11" s="11">
        <v>0.42</v>
      </c>
      <c r="C11" s="11">
        <v>0.45</v>
      </c>
      <c r="D11" s="11">
        <v>0.48</v>
      </c>
      <c r="E11" s="106">
        <f>CHOOSE(MATCH($B$2,{"Bear Case","Base Case","Bull Case"},0),B11,C11,D11)</f>
        <v>0.45</v>
      </c>
    </row>
    <row r="12" spans="1:5" x14ac:dyDescent="0.2">
      <c r="A12" s="5" t="s">
        <v>61</v>
      </c>
      <c r="B12" s="11">
        <v>0.11</v>
      </c>
      <c r="C12" s="11">
        <v>0.09</v>
      </c>
      <c r="D12" s="11">
        <v>7.4999999999999997E-2</v>
      </c>
      <c r="E12" s="106">
        <f>CHOOSE(MATCH($B$2,{"Bear Case","Base Case","Bull Case"},0),B12,C12,D12)</f>
        <v>0.09</v>
      </c>
    </row>
    <row r="13" spans="1:5" x14ac:dyDescent="0.2">
      <c r="A13" s="5" t="s">
        <v>63</v>
      </c>
      <c r="B13" s="11">
        <v>1.4999999999999999E-2</v>
      </c>
      <c r="C13" s="11">
        <v>0.03</v>
      </c>
      <c r="D13" s="11">
        <v>3.5000000000000003E-2</v>
      </c>
      <c r="E13" s="106">
        <f>CHOOSE(MATCH($B$2,{"Bear Case","Base Case","Bull Case"},0),B13,C13,D13)</f>
        <v>0.03</v>
      </c>
    </row>
    <row r="14" spans="1:5" x14ac:dyDescent="0.2">
      <c r="A14" s="107" t="s">
        <v>293</v>
      </c>
      <c r="B14" s="107"/>
      <c r="C14" s="107"/>
      <c r="D14" s="107"/>
      <c r="E14" s="107"/>
    </row>
    <row r="15" spans="1:5" x14ac:dyDescent="0.2">
      <c r="A15" s="5"/>
      <c r="B15" s="5"/>
      <c r="C15" s="5"/>
      <c r="D15" s="5"/>
      <c r="E15" s="5"/>
    </row>
    <row r="16" spans="1:5" x14ac:dyDescent="0.2">
      <c r="A16" s="5"/>
      <c r="B16" s="5"/>
      <c r="C16" s="5"/>
      <c r="D16" s="5"/>
      <c r="E16" s="5"/>
    </row>
    <row r="17" spans="1:4" ht="19" x14ac:dyDescent="0.25">
      <c r="A17" s="4" t="s">
        <v>27</v>
      </c>
      <c r="B17" s="15"/>
      <c r="C17" s="15"/>
    </row>
    <row r="18" spans="1:4" x14ac:dyDescent="0.2">
      <c r="A18" s="16" t="s">
        <v>28</v>
      </c>
      <c r="B18" s="15"/>
      <c r="C18" s="15"/>
    </row>
    <row r="19" spans="1:4" x14ac:dyDescent="0.2">
      <c r="A19" s="15"/>
      <c r="B19" s="15"/>
      <c r="C19" s="15"/>
    </row>
    <row r="20" spans="1:4" x14ac:dyDescent="0.2">
      <c r="A20" s="32" t="s">
        <v>29</v>
      </c>
      <c r="B20" s="33"/>
      <c r="C20" s="33"/>
    </row>
    <row r="21" spans="1:4" x14ac:dyDescent="0.2">
      <c r="A21" s="23" t="s">
        <v>30</v>
      </c>
      <c r="B21" s="23" t="s">
        <v>31</v>
      </c>
      <c r="C21" s="23" t="s">
        <v>32</v>
      </c>
      <c r="D21" s="3" t="s">
        <v>187</v>
      </c>
    </row>
    <row r="22" spans="1:4" x14ac:dyDescent="0.2">
      <c r="A22" s="15" t="s">
        <v>33</v>
      </c>
      <c r="B22" s="22">
        <v>5</v>
      </c>
      <c r="C22" s="15" t="s">
        <v>34</v>
      </c>
      <c r="D22" s="73" t="s">
        <v>204</v>
      </c>
    </row>
    <row r="23" spans="1:4" x14ac:dyDescent="0.2">
      <c r="A23" s="15"/>
      <c r="B23" s="15"/>
      <c r="C23" s="15"/>
    </row>
    <row r="24" spans="1:4" x14ac:dyDescent="0.2">
      <c r="A24" s="18" t="s">
        <v>35</v>
      </c>
      <c r="B24" s="19"/>
      <c r="C24" s="19"/>
    </row>
    <row r="25" spans="1:4" x14ac:dyDescent="0.2">
      <c r="A25" s="23" t="s">
        <v>36</v>
      </c>
      <c r="B25" s="23" t="s">
        <v>37</v>
      </c>
      <c r="C25" s="23"/>
      <c r="D25" s="3" t="s">
        <v>187</v>
      </c>
    </row>
    <row r="26" spans="1:4" x14ac:dyDescent="0.2">
      <c r="A26" s="15" t="s">
        <v>38</v>
      </c>
      <c r="B26" s="25">
        <f>E6</f>
        <v>0.15</v>
      </c>
      <c r="C26" s="15" t="s">
        <v>39</v>
      </c>
      <c r="D26" s="73" t="s">
        <v>188</v>
      </c>
    </row>
    <row r="27" spans="1:4" x14ac:dyDescent="0.2">
      <c r="A27" s="15" t="s">
        <v>40</v>
      </c>
      <c r="B27" s="25">
        <f>E7</f>
        <v>0.14000000000000001</v>
      </c>
      <c r="C27" s="15" t="s">
        <v>41</v>
      </c>
      <c r="D27" s="73" t="s">
        <v>189</v>
      </c>
    </row>
    <row r="28" spans="1:4" x14ac:dyDescent="0.2">
      <c r="A28" s="15" t="s">
        <v>42</v>
      </c>
      <c r="B28" s="25">
        <f>E8</f>
        <v>0.13</v>
      </c>
      <c r="C28" s="15" t="s">
        <v>43</v>
      </c>
      <c r="D28" s="73" t="s">
        <v>190</v>
      </c>
    </row>
    <row r="29" spans="1:4" x14ac:dyDescent="0.2">
      <c r="A29" s="15" t="s">
        <v>44</v>
      </c>
      <c r="B29" s="25">
        <f>E9</f>
        <v>0.12</v>
      </c>
      <c r="C29" s="15" t="s">
        <v>45</v>
      </c>
      <c r="D29" s="73" t="s">
        <v>191</v>
      </c>
    </row>
    <row r="30" spans="1:4" x14ac:dyDescent="0.2">
      <c r="A30" s="15" t="s">
        <v>46</v>
      </c>
      <c r="B30" s="25">
        <f>E10</f>
        <v>0.11</v>
      </c>
      <c r="C30" s="15" t="s">
        <v>47</v>
      </c>
      <c r="D30" s="73" t="s">
        <v>192</v>
      </c>
    </row>
    <row r="31" spans="1:4" x14ac:dyDescent="0.2">
      <c r="A31" s="15"/>
      <c r="B31" s="15"/>
      <c r="C31" s="15"/>
    </row>
    <row r="32" spans="1:4" x14ac:dyDescent="0.2">
      <c r="A32" s="18" t="s">
        <v>48</v>
      </c>
      <c r="B32" s="19"/>
      <c r="C32" s="19"/>
    </row>
    <row r="33" spans="1:4" x14ac:dyDescent="0.2">
      <c r="A33" s="23" t="s">
        <v>49</v>
      </c>
      <c r="B33" s="23" t="s">
        <v>50</v>
      </c>
      <c r="C33" s="23"/>
      <c r="D33" s="3" t="s">
        <v>187</v>
      </c>
    </row>
    <row r="34" spans="1:4" x14ac:dyDescent="0.2">
      <c r="A34" s="15" t="s">
        <v>51</v>
      </c>
      <c r="B34" s="22">
        <v>0.7</v>
      </c>
      <c r="C34" s="15" t="s">
        <v>52</v>
      </c>
      <c r="D34" s="73" t="s">
        <v>193</v>
      </c>
    </row>
    <row r="35" spans="1:4" x14ac:dyDescent="0.2">
      <c r="A35" s="15" t="s">
        <v>53</v>
      </c>
      <c r="B35" s="25">
        <f>E11</f>
        <v>0.45</v>
      </c>
      <c r="C35" s="15" t="s">
        <v>52</v>
      </c>
      <c r="D35" s="73" t="s">
        <v>194</v>
      </c>
    </row>
    <row r="36" spans="1:4" x14ac:dyDescent="0.2">
      <c r="A36" s="15" t="s">
        <v>54</v>
      </c>
      <c r="B36" s="22">
        <v>0.18</v>
      </c>
      <c r="C36" s="15" t="s">
        <v>55</v>
      </c>
      <c r="D36" s="73" t="s">
        <v>195</v>
      </c>
    </row>
    <row r="37" spans="1:4" x14ac:dyDescent="0.2">
      <c r="A37" s="15" t="s">
        <v>56</v>
      </c>
      <c r="B37" s="22">
        <v>0.04</v>
      </c>
      <c r="C37" s="15" t="s">
        <v>52</v>
      </c>
      <c r="D37" s="73" t="s">
        <v>196</v>
      </c>
    </row>
    <row r="38" spans="1:4" x14ac:dyDescent="0.2">
      <c r="A38" s="15" t="s">
        <v>57</v>
      </c>
      <c r="B38" s="22">
        <v>0.05</v>
      </c>
      <c r="C38" s="15" t="s">
        <v>52</v>
      </c>
      <c r="D38" s="73" t="s">
        <v>197</v>
      </c>
    </row>
    <row r="39" spans="1:4" x14ac:dyDescent="0.2">
      <c r="A39" s="15" t="s">
        <v>58</v>
      </c>
      <c r="B39" s="22">
        <v>0.01</v>
      </c>
      <c r="C39" s="15" t="s">
        <v>59</v>
      </c>
      <c r="D39" s="73" t="s">
        <v>198</v>
      </c>
    </row>
    <row r="40" spans="1:4" x14ac:dyDescent="0.2">
      <c r="A40" s="15"/>
      <c r="B40" s="15"/>
      <c r="C40" s="15"/>
    </row>
    <row r="41" spans="1:4" x14ac:dyDescent="0.2">
      <c r="A41" s="15"/>
      <c r="B41" s="15"/>
      <c r="C41" s="15"/>
    </row>
    <row r="42" spans="1:4" x14ac:dyDescent="0.2">
      <c r="A42" s="18" t="s">
        <v>60</v>
      </c>
      <c r="B42" s="19"/>
      <c r="C42" s="19"/>
    </row>
    <row r="43" spans="1:4" x14ac:dyDescent="0.2">
      <c r="A43" s="23" t="s">
        <v>30</v>
      </c>
      <c r="B43" s="23" t="s">
        <v>31</v>
      </c>
      <c r="C43" s="23"/>
      <c r="D43" s="3" t="s">
        <v>187</v>
      </c>
    </row>
    <row r="44" spans="1:4" x14ac:dyDescent="0.2">
      <c r="A44" s="15" t="s">
        <v>61</v>
      </c>
      <c r="B44" s="25">
        <f>E12</f>
        <v>0.09</v>
      </c>
      <c r="C44" s="15" t="s">
        <v>62</v>
      </c>
      <c r="D44" s="73" t="s">
        <v>199</v>
      </c>
    </row>
    <row r="45" spans="1:4" x14ac:dyDescent="0.2">
      <c r="A45" s="15" t="s">
        <v>63</v>
      </c>
      <c r="B45" s="25">
        <f>E13</f>
        <v>0.03</v>
      </c>
      <c r="C45" s="15" t="s">
        <v>64</v>
      </c>
      <c r="D45" s="73" t="s">
        <v>200</v>
      </c>
    </row>
    <row r="46" spans="1:4" x14ac:dyDescent="0.2">
      <c r="A46" s="15"/>
      <c r="B46" s="15"/>
      <c r="C46" s="15"/>
    </row>
    <row r="47" spans="1:4" x14ac:dyDescent="0.2">
      <c r="A47" s="15"/>
      <c r="B47" s="15"/>
      <c r="C47" s="15"/>
    </row>
    <row r="48" spans="1:4" x14ac:dyDescent="0.2">
      <c r="A48" s="18" t="s">
        <v>65</v>
      </c>
      <c r="B48" s="19"/>
      <c r="C48" s="19"/>
    </row>
    <row r="49" spans="1:4" x14ac:dyDescent="0.2">
      <c r="A49" s="23" t="s">
        <v>30</v>
      </c>
      <c r="B49" s="23" t="s">
        <v>31</v>
      </c>
      <c r="C49" s="23" t="s">
        <v>32</v>
      </c>
      <c r="D49" s="3" t="s">
        <v>187</v>
      </c>
    </row>
    <row r="50" spans="1:4" x14ac:dyDescent="0.2">
      <c r="A50" s="15" t="s">
        <v>66</v>
      </c>
      <c r="B50" s="22">
        <v>7430</v>
      </c>
      <c r="C50" s="15" t="s">
        <v>67</v>
      </c>
      <c r="D50" s="73" t="s">
        <v>201</v>
      </c>
    </row>
    <row r="51" spans="1:4" x14ac:dyDescent="0.2">
      <c r="A51" s="15" t="s">
        <v>68</v>
      </c>
      <c r="B51" s="22">
        <v>-26000</v>
      </c>
      <c r="C51" s="15" t="s">
        <v>69</v>
      </c>
      <c r="D51" s="73" t="s">
        <v>202</v>
      </c>
    </row>
    <row r="52" spans="1:4" x14ac:dyDescent="0.2">
      <c r="A52" s="15" t="s">
        <v>70</v>
      </c>
      <c r="B52" s="22">
        <v>420</v>
      </c>
      <c r="C52" s="15" t="s">
        <v>71</v>
      </c>
      <c r="D52" s="73" t="s">
        <v>203</v>
      </c>
    </row>
    <row r="53" spans="1:4" x14ac:dyDescent="0.2">
      <c r="A53" s="15"/>
      <c r="B53" s="15"/>
      <c r="C53" s="15"/>
    </row>
    <row r="54" spans="1:4" x14ac:dyDescent="0.2">
      <c r="A54" s="15"/>
      <c r="B54" s="15"/>
      <c r="C54" s="15"/>
    </row>
    <row r="55" spans="1:4" x14ac:dyDescent="0.2">
      <c r="A55" s="15"/>
      <c r="B55" s="15"/>
      <c r="C55" s="15"/>
    </row>
    <row r="56" spans="1:4" x14ac:dyDescent="0.2">
      <c r="A56" s="15"/>
      <c r="B56" s="15"/>
      <c r="C56" s="15"/>
    </row>
  </sheetData>
  <mergeCells count="8">
    <mergeCell ref="A20:C20"/>
    <mergeCell ref="A24:C24"/>
    <mergeCell ref="A32:C32"/>
    <mergeCell ref="A42:C42"/>
    <mergeCell ref="A48:C48"/>
    <mergeCell ref="A1:E1"/>
    <mergeCell ref="A4:E4"/>
    <mergeCell ref="A14:E14"/>
  </mergeCells>
  <dataValidations count="1">
    <dataValidation type="list" allowBlank="1" showInputMessage="1" showErrorMessage="1" promptTitle="Scenario" prompt="Select Bear Case, Base Case, or Bull Case" sqref="B2" xr:uid="{4ED32972-D537-8644-8802-61C700D42A35}">
      <formula1>"Bear Case,Base Case,Bull Case"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5397-11C4-5C4B-A00E-144A43E123CC}">
  <sheetPr>
    <tabColor rgb="FF000000"/>
  </sheetPr>
  <dimension ref="A1:G35"/>
  <sheetViews>
    <sheetView workbookViewId="0">
      <pane ySplit="4" topLeftCell="A5" activePane="bottomLeft" state="frozen"/>
      <selection pane="bottomLeft"/>
    </sheetView>
  </sheetViews>
  <sheetFormatPr baseColWidth="10" defaultRowHeight="16" x14ac:dyDescent="0.2"/>
  <cols>
    <col min="1" max="1" width="38.33203125" customWidth="1"/>
    <col min="2" max="7" width="15" customWidth="1"/>
  </cols>
  <sheetData>
    <row r="1" spans="1:7" ht="19" x14ac:dyDescent="0.25">
      <c r="A1" s="4" t="s">
        <v>72</v>
      </c>
      <c r="B1" s="15"/>
      <c r="C1" s="15"/>
      <c r="D1" s="15"/>
      <c r="E1" s="15"/>
      <c r="F1" s="15"/>
      <c r="G1" s="15"/>
    </row>
    <row r="2" spans="1:7" x14ac:dyDescent="0.2">
      <c r="A2" s="16" t="s">
        <v>73</v>
      </c>
      <c r="B2" s="15"/>
      <c r="C2" s="15"/>
      <c r="D2" s="15"/>
      <c r="E2" s="15"/>
      <c r="F2" s="15"/>
      <c r="G2" s="15"/>
    </row>
    <row r="3" spans="1:7" x14ac:dyDescent="0.2">
      <c r="A3" s="15"/>
      <c r="B3" s="15"/>
      <c r="C3" s="15"/>
      <c r="D3" s="15"/>
      <c r="E3" s="15"/>
      <c r="F3" s="15"/>
      <c r="G3" s="15"/>
    </row>
    <row r="4" spans="1:7" x14ac:dyDescent="0.2">
      <c r="A4" s="17"/>
      <c r="B4" s="17" t="s">
        <v>74</v>
      </c>
      <c r="C4" s="17" t="s">
        <v>75</v>
      </c>
      <c r="D4" s="17" t="s">
        <v>76</v>
      </c>
      <c r="E4" s="17" t="s">
        <v>77</v>
      </c>
      <c r="F4" s="17" t="s">
        <v>78</v>
      </c>
      <c r="G4" s="17" t="s">
        <v>79</v>
      </c>
    </row>
    <row r="5" spans="1:7" x14ac:dyDescent="0.2">
      <c r="A5" s="18" t="s">
        <v>5</v>
      </c>
      <c r="B5" s="35"/>
      <c r="C5" s="19"/>
      <c r="D5" s="19"/>
      <c r="E5" s="19"/>
      <c r="F5" s="19"/>
      <c r="G5" s="19"/>
    </row>
    <row r="6" spans="1:7" x14ac:dyDescent="0.2">
      <c r="A6" s="20" t="s">
        <v>6</v>
      </c>
      <c r="B6" s="36">
        <f>Historicals!D6</f>
        <v>245122</v>
      </c>
      <c r="C6" s="26">
        <f>B6*(1+Assumptions!$B$26)</f>
        <v>281890.3</v>
      </c>
      <c r="D6" s="26">
        <f>C6*(1+Assumptions!$B$27)</f>
        <v>321354.94200000004</v>
      </c>
      <c r="E6" s="26">
        <f>D6*(1+Assumptions!$B$28)</f>
        <v>363131.08445999998</v>
      </c>
      <c r="F6" s="26">
        <f>E6*(1+Assumptions!$B$29)</f>
        <v>406706.8145952</v>
      </c>
      <c r="G6" s="26">
        <f>F6*(1+Assumptions!$B$30)</f>
        <v>451444.56420067203</v>
      </c>
    </row>
    <row r="7" spans="1:7" x14ac:dyDescent="0.2">
      <c r="A7" s="37" t="s">
        <v>80</v>
      </c>
      <c r="B7" s="38"/>
      <c r="C7" s="25">
        <f>C6/B6-1</f>
        <v>0.14999999999999991</v>
      </c>
      <c r="D7" s="25">
        <f>D6/C6-1</f>
        <v>0.14000000000000012</v>
      </c>
      <c r="E7" s="25">
        <f>E6/D6-1</f>
        <v>0.12999999999999989</v>
      </c>
      <c r="F7" s="25">
        <f>F6/E6-1</f>
        <v>0.12000000000000011</v>
      </c>
      <c r="G7" s="25">
        <f>G6/F6-1</f>
        <v>0.1100000000000001</v>
      </c>
    </row>
    <row r="8" spans="1:7" x14ac:dyDescent="0.2">
      <c r="A8" s="15"/>
      <c r="B8" s="38"/>
      <c r="C8" s="15"/>
      <c r="D8" s="15"/>
      <c r="E8" s="15"/>
      <c r="F8" s="15"/>
      <c r="G8" s="15"/>
    </row>
    <row r="9" spans="1:7" x14ac:dyDescent="0.2">
      <c r="A9" s="39" t="s">
        <v>8</v>
      </c>
      <c r="B9" s="36">
        <f>Historicals!D8</f>
        <v>171008</v>
      </c>
      <c r="C9" s="40">
        <f>C6*Assumptions!$B$34</f>
        <v>197323.21</v>
      </c>
      <c r="D9" s="40">
        <f>D6*Assumptions!$B$34</f>
        <v>224948.45940000002</v>
      </c>
      <c r="E9" s="40">
        <f>E6*Assumptions!$B$34</f>
        <v>254191.75912199996</v>
      </c>
      <c r="F9" s="40">
        <f>F6*Assumptions!$B$34</f>
        <v>284694.77021663997</v>
      </c>
      <c r="G9" s="40">
        <f>G6*Assumptions!$B$34</f>
        <v>316011.19494047039</v>
      </c>
    </row>
    <row r="10" spans="1:7" x14ac:dyDescent="0.2">
      <c r="A10" s="37" t="s">
        <v>9</v>
      </c>
      <c r="B10" s="38">
        <f>Historicals!D9</f>
        <v>0.69764443827971379</v>
      </c>
      <c r="C10" s="25">
        <f>C9/C6</f>
        <v>0.7</v>
      </c>
      <c r="D10" s="25">
        <f>D9/D6</f>
        <v>0.7</v>
      </c>
      <c r="E10" s="25">
        <f>E9/E6</f>
        <v>0.7</v>
      </c>
      <c r="F10" s="25">
        <f>F9/F6</f>
        <v>0.7</v>
      </c>
      <c r="G10" s="25">
        <f>G9/G6</f>
        <v>0.7</v>
      </c>
    </row>
    <row r="11" spans="1:7" x14ac:dyDescent="0.2">
      <c r="A11" s="15"/>
      <c r="B11" s="38"/>
      <c r="C11" s="15"/>
      <c r="D11" s="15"/>
      <c r="E11" s="15"/>
      <c r="F11" s="15"/>
      <c r="G11" s="15"/>
    </row>
    <row r="12" spans="1:7" x14ac:dyDescent="0.2">
      <c r="A12" s="37" t="s">
        <v>81</v>
      </c>
      <c r="B12" s="41">
        <f>Historicals!D11</f>
        <v>29510</v>
      </c>
      <c r="C12" s="25">
        <f>C6*(Historicals!$D$11/Historicals!$D$6)*(1-0.005*0)</f>
        <v>33936.5</v>
      </c>
      <c r="D12" s="25">
        <f>D6*(Historicals!$D$11/Historicals!$D$6)*(1-0.005*1)</f>
        <v>38494.171950000011</v>
      </c>
      <c r="E12" s="25">
        <f>E6*(Historicals!$D$11/Historicals!$D$6)*(1-0.005*2)</f>
        <v>43279.829306999993</v>
      </c>
      <c r="F12" s="25">
        <f>F6*(Historicals!$D$11/Historicals!$D$6)*(1-0.005*3)</f>
        <v>48228.593627759998</v>
      </c>
      <c r="G12" s="25">
        <f>G6*(Historicals!$D$11/Historicals!$D$6)*(1-0.005*4)</f>
        <v>53261.994059164805</v>
      </c>
    </row>
    <row r="13" spans="1:7" x14ac:dyDescent="0.2">
      <c r="A13" s="37" t="s">
        <v>11</v>
      </c>
      <c r="B13" s="41">
        <f>Historicals!D12</f>
        <v>24456</v>
      </c>
      <c r="C13" s="25">
        <f>C6*(Historicals!$D$12/Historicals!$D$6)*(1-0.005*0)</f>
        <v>28124.399999999998</v>
      </c>
      <c r="D13" s="25">
        <f>D6*(Historicals!$D$12/Historicals!$D$6)*(1-0.005*1)</f>
        <v>31901.506920000003</v>
      </c>
      <c r="E13" s="25">
        <f>E6*(Historicals!$D$12/Historicals!$D$6)*(1-0.005*2)</f>
        <v>35867.553559199994</v>
      </c>
      <c r="F13" s="25">
        <f>F6*(Historicals!$D$12/Historicals!$D$6)*(1-0.005*3)</f>
        <v>39968.772814655997</v>
      </c>
      <c r="G13" s="25">
        <f>G6*(Historicals!$D$12/Historicals!$D$6)*(1-0.005*4)</f>
        <v>44140.133063738882</v>
      </c>
    </row>
    <row r="14" spans="1:7" x14ac:dyDescent="0.2">
      <c r="A14" s="37" t="s">
        <v>82</v>
      </c>
      <c r="B14" s="41">
        <f>Historicals!D13</f>
        <v>7609</v>
      </c>
      <c r="C14" s="25">
        <f>C6*(Historicals!$D$13/Historicals!$D$6)*(1-0.003*0)</f>
        <v>8750.35</v>
      </c>
      <c r="D14" s="25">
        <f>D6*(Historicals!$D$13/Historicals!$D$6)*(1-0.003*1)</f>
        <v>9945.4728030000006</v>
      </c>
      <c r="E14" s="25">
        <f>E6*(Historicals!$D$13/Historicals!$D$6)*(1-0.003*2)</f>
        <v>11204.567664780001</v>
      </c>
      <c r="F14" s="25">
        <f>F6*(Historicals!$D$13/Historicals!$D$6)*(1-0.003*3)</f>
        <v>12511.241189630402</v>
      </c>
      <c r="G14" s="25">
        <f>G6*(Historicals!$D$13/Historicals!$D$6)*(1-0.003*4)</f>
        <v>13845.436920124994</v>
      </c>
    </row>
    <row r="15" spans="1:7" x14ac:dyDescent="0.2">
      <c r="A15" s="20" t="s">
        <v>83</v>
      </c>
      <c r="B15" s="36">
        <f>Historicals!D14</f>
        <v>61575</v>
      </c>
      <c r="C15" s="26">
        <f>C12+C13+C14</f>
        <v>70811.25</v>
      </c>
      <c r="D15" s="26">
        <f>D12+D13+D14</f>
        <v>80341.151673000015</v>
      </c>
      <c r="E15" s="26">
        <f>E12+E13+E14</f>
        <v>90351.950530979986</v>
      </c>
      <c r="F15" s="26">
        <f>F12+F13+F14</f>
        <v>100708.60763204639</v>
      </c>
      <c r="G15" s="26">
        <f>G12+G13+G14</f>
        <v>111247.56404302867</v>
      </c>
    </row>
    <row r="16" spans="1:7" x14ac:dyDescent="0.2">
      <c r="A16" s="15"/>
      <c r="B16" s="38"/>
      <c r="C16" s="15"/>
      <c r="D16" s="15"/>
      <c r="E16" s="15"/>
      <c r="F16" s="15"/>
      <c r="G16" s="15"/>
    </row>
    <row r="17" spans="1:7" x14ac:dyDescent="0.2">
      <c r="A17" s="39" t="s">
        <v>84</v>
      </c>
      <c r="B17" s="36">
        <f>Historicals!D16</f>
        <v>109433</v>
      </c>
      <c r="C17" s="40">
        <f>C6*Assumptions!$B$35</f>
        <v>126850.63499999999</v>
      </c>
      <c r="D17" s="40">
        <f>D6*Assumptions!$B$35</f>
        <v>144609.72390000001</v>
      </c>
      <c r="E17" s="40">
        <f>E6*Assumptions!$B$35</f>
        <v>163408.98800700001</v>
      </c>
      <c r="F17" s="40">
        <f>F6*Assumptions!$B$35</f>
        <v>183018.06656784</v>
      </c>
      <c r="G17" s="40">
        <f>G6*Assumptions!$B$35</f>
        <v>203150.05389030243</v>
      </c>
    </row>
    <row r="18" spans="1:7" x14ac:dyDescent="0.2">
      <c r="A18" s="37" t="s">
        <v>15</v>
      </c>
      <c r="B18" s="38">
        <f>Historicals!D17</f>
        <v>0.44644299573273716</v>
      </c>
      <c r="C18" s="25">
        <f>C17/C6</f>
        <v>0.45</v>
      </c>
      <c r="D18" s="25">
        <f>D17/D6</f>
        <v>0.44999999999999996</v>
      </c>
      <c r="E18" s="25">
        <f>E17/E6</f>
        <v>0.45000000000000007</v>
      </c>
      <c r="F18" s="25">
        <f>F17/F6</f>
        <v>0.45</v>
      </c>
      <c r="G18" s="25">
        <f>G17/G6</f>
        <v>0.45</v>
      </c>
    </row>
    <row r="19" spans="1:7" x14ac:dyDescent="0.2">
      <c r="A19" s="15"/>
      <c r="B19" s="38"/>
      <c r="C19" s="15"/>
      <c r="D19" s="15"/>
      <c r="E19" s="15"/>
      <c r="F19" s="15"/>
      <c r="G19" s="15"/>
    </row>
    <row r="20" spans="1:7" x14ac:dyDescent="0.2">
      <c r="A20" s="15" t="s">
        <v>85</v>
      </c>
      <c r="B20" s="41">
        <f>Historicals!D20</f>
        <v>19651</v>
      </c>
      <c r="C20" s="25">
        <f>C17*Assumptions!$B$36</f>
        <v>22833.114299999997</v>
      </c>
      <c r="D20" s="25">
        <f>D17*Assumptions!$B$36</f>
        <v>26029.750302</v>
      </c>
      <c r="E20" s="25">
        <f>E17*Assumptions!$B$36</f>
        <v>29413.617841260002</v>
      </c>
      <c r="F20" s="25">
        <f>F17*Assumptions!$B$36</f>
        <v>32943.251982211201</v>
      </c>
      <c r="G20" s="25">
        <f>G17*Assumptions!$B$36</f>
        <v>36567.009700254435</v>
      </c>
    </row>
    <row r="21" spans="1:7" x14ac:dyDescent="0.2">
      <c r="A21" s="37" t="s">
        <v>18</v>
      </c>
      <c r="B21" s="38">
        <f>Historicals!D21</f>
        <v>0.18231326597827197</v>
      </c>
      <c r="C21" s="25">
        <f>C20/C17</f>
        <v>0.18</v>
      </c>
      <c r="D21" s="25">
        <f>D20/D17</f>
        <v>0.18</v>
      </c>
      <c r="E21" s="25">
        <f>E20/E17</f>
        <v>0.18</v>
      </c>
      <c r="F21" s="25">
        <f>F20/F17</f>
        <v>0.18000000000000002</v>
      </c>
      <c r="G21" s="25">
        <f>G20/G17</f>
        <v>0.18</v>
      </c>
    </row>
    <row r="22" spans="1:7" x14ac:dyDescent="0.2">
      <c r="A22" s="15"/>
      <c r="B22" s="38"/>
      <c r="C22" s="15"/>
      <c r="D22" s="15"/>
      <c r="E22" s="15"/>
      <c r="F22" s="15"/>
      <c r="G22" s="15"/>
    </row>
    <row r="23" spans="1:7" x14ac:dyDescent="0.2">
      <c r="A23" s="39" t="s">
        <v>21</v>
      </c>
      <c r="B23" s="36">
        <f>Historicals!D23</f>
        <v>89481.912364199758</v>
      </c>
      <c r="C23" s="40">
        <f>C17-C20</f>
        <v>104017.52069999999</v>
      </c>
      <c r="D23" s="40">
        <f>D17-D20</f>
        <v>118579.97359800001</v>
      </c>
      <c r="E23" s="40">
        <f>E17-E20</f>
        <v>133995.37016573999</v>
      </c>
      <c r="F23" s="40">
        <f>F17-F20</f>
        <v>150074.8145856288</v>
      </c>
      <c r="G23" s="40">
        <f>G17-G20</f>
        <v>166583.04419004801</v>
      </c>
    </row>
    <row r="24" spans="1:7" x14ac:dyDescent="0.2">
      <c r="A24" s="15"/>
      <c r="B24" s="38"/>
      <c r="C24" s="15"/>
      <c r="D24" s="15"/>
      <c r="E24" s="15"/>
      <c r="F24" s="15"/>
      <c r="G24" s="15"/>
    </row>
    <row r="25" spans="1:7" x14ac:dyDescent="0.2">
      <c r="A25" s="18" t="s">
        <v>20</v>
      </c>
      <c r="B25" s="35"/>
      <c r="C25" s="19"/>
      <c r="D25" s="19"/>
      <c r="E25" s="19"/>
      <c r="F25" s="19"/>
      <c r="G25" s="19"/>
    </row>
    <row r="26" spans="1:7" x14ac:dyDescent="0.2">
      <c r="A26" s="15" t="s">
        <v>21</v>
      </c>
      <c r="B26" s="42">
        <f t="shared" ref="B26:G26" si="0">B23</f>
        <v>89481.912364199758</v>
      </c>
      <c r="C26" s="25">
        <f t="shared" si="0"/>
        <v>104017.52069999999</v>
      </c>
      <c r="D26" s="25">
        <f t="shared" si="0"/>
        <v>118579.97359800001</v>
      </c>
      <c r="E26" s="25">
        <f t="shared" si="0"/>
        <v>133995.37016573999</v>
      </c>
      <c r="F26" s="25">
        <f t="shared" si="0"/>
        <v>150074.8145856288</v>
      </c>
      <c r="G26" s="25">
        <f t="shared" si="0"/>
        <v>166583.04419004801</v>
      </c>
    </row>
    <row r="27" spans="1:7" x14ac:dyDescent="0.2">
      <c r="A27" s="37" t="s">
        <v>22</v>
      </c>
      <c r="B27" s="38">
        <v>22287</v>
      </c>
      <c r="C27" s="25">
        <f>C6*Assumptions!$B$37</f>
        <v>11275.611999999999</v>
      </c>
      <c r="D27" s="25">
        <f>D6*Assumptions!$B$37</f>
        <v>12854.197680000001</v>
      </c>
      <c r="E27" s="25">
        <f>E6*Assumptions!$B$37</f>
        <v>14525.2433784</v>
      </c>
      <c r="F27" s="25">
        <f>F6*Assumptions!$B$37</f>
        <v>16268.272583808</v>
      </c>
      <c r="G27" s="25">
        <f>G6*Assumptions!$B$37</f>
        <v>18057.782568026883</v>
      </c>
    </row>
    <row r="28" spans="1:7" x14ac:dyDescent="0.2">
      <c r="A28" s="37" t="s">
        <v>23</v>
      </c>
      <c r="B28" s="38">
        <v>44477</v>
      </c>
      <c r="C28" s="25">
        <f>C6*Assumptions!$B$38</f>
        <v>14094.514999999999</v>
      </c>
      <c r="D28" s="25">
        <f>D6*Assumptions!$B$38</f>
        <v>16067.747100000002</v>
      </c>
      <c r="E28" s="25">
        <f>E6*Assumptions!$B$38</f>
        <v>18156.554222999999</v>
      </c>
      <c r="F28" s="25">
        <f>F6*Assumptions!$B$38</f>
        <v>20335.340729760002</v>
      </c>
      <c r="G28" s="25">
        <f>G6*Assumptions!$B$38</f>
        <v>22572.228210033601</v>
      </c>
    </row>
    <row r="29" spans="1:7" x14ac:dyDescent="0.2">
      <c r="A29" s="37" t="s">
        <v>24</v>
      </c>
      <c r="B29" s="38">
        <v>-6205</v>
      </c>
      <c r="C29" s="25">
        <f>(C6-B6)*Assumptions!$B$39</f>
        <v>367.68299999999988</v>
      </c>
      <c r="D29" s="25">
        <f>(D6-C6)*Assumptions!$B$39</f>
        <v>394.64642000000049</v>
      </c>
      <c r="E29" s="25">
        <f>(E6-D6)*Assumptions!$B$39</f>
        <v>417.76142459999943</v>
      </c>
      <c r="F29" s="25">
        <f>(F6-E6)*Assumptions!$B$39</f>
        <v>435.75730135200024</v>
      </c>
      <c r="G29" s="25">
        <f>(G6-F6)*Assumptions!$B$39</f>
        <v>447.37749605472027</v>
      </c>
    </row>
    <row r="30" spans="1:7" x14ac:dyDescent="0.2">
      <c r="A30" s="15"/>
      <c r="B30" s="38"/>
      <c r="C30" s="15"/>
      <c r="D30" s="15"/>
      <c r="E30" s="15"/>
      <c r="F30" s="15"/>
      <c r="G30" s="15"/>
    </row>
    <row r="31" spans="1:7" x14ac:dyDescent="0.2">
      <c r="A31" s="39" t="s">
        <v>86</v>
      </c>
      <c r="B31" s="43">
        <f t="shared" ref="B31:G31" si="1">B26+B27-B28-B29</f>
        <v>73496.912364199758</v>
      </c>
      <c r="C31" s="40">
        <f t="shared" si="1"/>
        <v>100830.93469999998</v>
      </c>
      <c r="D31" s="40">
        <f t="shared" si="1"/>
        <v>114971.77775800001</v>
      </c>
      <c r="E31" s="40">
        <f t="shared" si="1"/>
        <v>129946.29789653998</v>
      </c>
      <c r="F31" s="40">
        <f t="shared" si="1"/>
        <v>145571.9891383248</v>
      </c>
      <c r="G31" s="40">
        <f t="shared" si="1"/>
        <v>161621.22105198659</v>
      </c>
    </row>
    <row r="32" spans="1:7" x14ac:dyDescent="0.2">
      <c r="A32" s="37" t="s">
        <v>26</v>
      </c>
      <c r="B32" s="38">
        <f t="shared" ref="B32:G32" si="2">B31/B6</f>
        <v>0.29983809027422981</v>
      </c>
      <c r="C32" s="25">
        <f t="shared" si="2"/>
        <v>0.35769565217391303</v>
      </c>
      <c r="D32" s="25">
        <f t="shared" si="2"/>
        <v>0.35777192982456141</v>
      </c>
      <c r="E32" s="25">
        <f t="shared" si="2"/>
        <v>0.35784955752212388</v>
      </c>
      <c r="F32" s="25">
        <f t="shared" si="2"/>
        <v>0.35792857142857143</v>
      </c>
      <c r="G32" s="25">
        <f t="shared" si="2"/>
        <v>0.35800900900900912</v>
      </c>
    </row>
    <row r="33" spans="1:7" x14ac:dyDescent="0.2">
      <c r="A33" s="15"/>
      <c r="B33" s="15"/>
      <c r="C33" s="15"/>
      <c r="D33" s="15"/>
      <c r="E33" s="15"/>
      <c r="F33" s="15"/>
      <c r="G33" s="15"/>
    </row>
    <row r="34" spans="1:7" x14ac:dyDescent="0.2">
      <c r="A34" s="15"/>
      <c r="B34" s="15"/>
      <c r="C34" s="15"/>
      <c r="D34" s="15"/>
      <c r="E34" s="15"/>
      <c r="F34" s="15"/>
      <c r="G34" s="15"/>
    </row>
    <row r="35" spans="1:7" x14ac:dyDescent="0.2">
      <c r="A35" s="15"/>
      <c r="B35" s="15"/>
      <c r="C35" s="15"/>
      <c r="D35" s="15"/>
      <c r="E35" s="15"/>
      <c r="F35" s="15"/>
      <c r="G35" s="15"/>
    </row>
  </sheetData>
  <mergeCells count="2">
    <mergeCell ref="A5:G5"/>
    <mergeCell ref="A25:G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24E6B-9DFE-5D4C-98F3-7FC3FCF01988}">
  <sheetPr>
    <tabColor rgb="FF00B050"/>
  </sheetPr>
  <dimension ref="A1:H63"/>
  <sheetViews>
    <sheetView workbookViewId="0">
      <pane ySplit="3" topLeftCell="A32" activePane="bottomLeft" state="frozen"/>
      <selection pane="bottomLeft" activeCell="C6" sqref="C6"/>
    </sheetView>
  </sheetViews>
  <sheetFormatPr baseColWidth="10" defaultRowHeight="16" x14ac:dyDescent="0.2"/>
  <cols>
    <col min="1" max="1" width="43.33203125" customWidth="1"/>
    <col min="2" max="8" width="15.83203125" customWidth="1"/>
  </cols>
  <sheetData>
    <row r="1" spans="1:8" ht="19" x14ac:dyDescent="0.25">
      <c r="A1" s="4" t="s">
        <v>87</v>
      </c>
      <c r="B1" s="15"/>
      <c r="C1" s="15"/>
      <c r="D1" s="15"/>
      <c r="E1" s="15"/>
      <c r="F1" s="15"/>
      <c r="G1" s="15"/>
      <c r="H1" s="15"/>
    </row>
    <row r="2" spans="1:8" x14ac:dyDescent="0.2">
      <c r="A2" s="16" t="s">
        <v>88</v>
      </c>
      <c r="B2" s="15"/>
      <c r="C2" s="15"/>
      <c r="D2" s="15"/>
      <c r="E2" s="15"/>
      <c r="F2" s="15"/>
      <c r="G2" s="15"/>
      <c r="H2" s="15"/>
    </row>
    <row r="3" spans="1:8" x14ac:dyDescent="0.2">
      <c r="A3" s="15"/>
      <c r="B3" s="15"/>
      <c r="C3" s="15"/>
      <c r="D3" s="15"/>
      <c r="E3" s="15"/>
      <c r="F3" s="15"/>
      <c r="G3" s="15"/>
      <c r="H3" s="15"/>
    </row>
    <row r="4" spans="1:8" x14ac:dyDescent="0.2">
      <c r="A4" s="32" t="s">
        <v>89</v>
      </c>
      <c r="B4" s="51"/>
      <c r="C4" s="51"/>
      <c r="D4" s="51"/>
      <c r="E4" s="51"/>
      <c r="F4" s="51"/>
      <c r="G4" s="51"/>
      <c r="H4" s="51"/>
    </row>
    <row r="5" spans="1:8" x14ac:dyDescent="0.2">
      <c r="A5" s="46"/>
      <c r="B5" s="46" t="s">
        <v>75</v>
      </c>
      <c r="C5" s="46" t="s">
        <v>76</v>
      </c>
      <c r="D5" s="46" t="s">
        <v>77</v>
      </c>
      <c r="E5" s="46" t="s">
        <v>78</v>
      </c>
      <c r="F5" s="46" t="s">
        <v>79</v>
      </c>
      <c r="G5" s="46"/>
      <c r="H5" s="46"/>
    </row>
    <row r="6" spans="1:8" x14ac:dyDescent="0.2">
      <c r="A6" s="15" t="s">
        <v>90</v>
      </c>
      <c r="B6" s="47">
        <f>Projections!C31</f>
        <v>100830.93469999998</v>
      </c>
      <c r="C6" s="47">
        <f>Projections!D31</f>
        <v>114971.77775800001</v>
      </c>
      <c r="D6" s="47">
        <f>Projections!E31</f>
        <v>129946.29789653998</v>
      </c>
      <c r="E6" s="47">
        <f>Projections!F31</f>
        <v>145571.9891383248</v>
      </c>
      <c r="F6" s="47">
        <f>Projections!G31</f>
        <v>161621.22105198659</v>
      </c>
      <c r="G6" s="23" t="s">
        <v>94</v>
      </c>
      <c r="H6" s="15"/>
    </row>
    <row r="7" spans="1:8" x14ac:dyDescent="0.2">
      <c r="A7" s="15" t="s">
        <v>91</v>
      </c>
      <c r="B7" s="25">
        <v>0.5</v>
      </c>
      <c r="C7" s="25">
        <v>1.5</v>
      </c>
      <c r="D7" s="25">
        <v>2.5</v>
      </c>
      <c r="E7" s="25">
        <v>3.5</v>
      </c>
      <c r="F7" s="25">
        <v>4.5</v>
      </c>
      <c r="G7" s="15"/>
      <c r="H7" s="15"/>
    </row>
    <row r="8" spans="1:8" x14ac:dyDescent="0.2">
      <c r="A8" s="15" t="s">
        <v>92</v>
      </c>
      <c r="B8" s="25">
        <f>1/(1+Assumptions!$B$44)^B7</f>
        <v>0.95782628522115132</v>
      </c>
      <c r="C8" s="25">
        <f>1/(1+Assumptions!$B$44)^C7</f>
        <v>0.8787397112120654</v>
      </c>
      <c r="D8" s="25">
        <f>1/(1+Assumptions!$B$44)^D7</f>
        <v>0.80618322129547271</v>
      </c>
      <c r="E8" s="25">
        <f>1/(1+Assumptions!$B$44)^E7</f>
        <v>0.73961763421603011</v>
      </c>
      <c r="F8" s="25">
        <f>1/(1+Assumptions!$B$44)^F7</f>
        <v>0.67854828827158709</v>
      </c>
      <c r="G8" s="15"/>
      <c r="H8" s="15"/>
    </row>
    <row r="9" spans="1:8" x14ac:dyDescent="0.2">
      <c r="A9" s="39" t="s">
        <v>93</v>
      </c>
      <c r="B9" s="40">
        <f>B6*B8</f>
        <v>96578.519619077473</v>
      </c>
      <c r="C9" s="40">
        <f>C6*C8</f>
        <v>101030.26678460269</v>
      </c>
      <c r="D9" s="40">
        <f>D6*D8</f>
        <v>104760.52503365371</v>
      </c>
      <c r="E9" s="40">
        <f>E6*E8</f>
        <v>107667.61021460942</v>
      </c>
      <c r="F9" s="40">
        <f>F6*F8</f>
        <v>109667.80289318929</v>
      </c>
      <c r="G9" s="40">
        <f>SUM(B9:F9)</f>
        <v>519704.7245451326</v>
      </c>
      <c r="H9" s="39"/>
    </row>
    <row r="10" spans="1:8" x14ac:dyDescent="0.2">
      <c r="A10" s="15"/>
      <c r="B10" s="15"/>
      <c r="C10" s="15"/>
      <c r="D10" s="15"/>
      <c r="E10" s="15"/>
      <c r="F10" s="15"/>
      <c r="G10" s="15"/>
      <c r="H10" s="15"/>
    </row>
    <row r="11" spans="1:8" x14ac:dyDescent="0.2">
      <c r="A11" s="15"/>
      <c r="B11" s="15"/>
      <c r="C11" s="15"/>
      <c r="D11" s="15"/>
      <c r="E11" s="15"/>
      <c r="F11" s="15"/>
      <c r="G11" s="15"/>
      <c r="H11" s="15"/>
    </row>
    <row r="12" spans="1:8" x14ac:dyDescent="0.2">
      <c r="A12" s="18" t="s">
        <v>95</v>
      </c>
      <c r="B12" s="18"/>
      <c r="C12" s="18"/>
      <c r="D12" s="18"/>
      <c r="E12" s="18"/>
      <c r="F12" s="18"/>
      <c r="G12" s="18"/>
      <c r="H12" s="18"/>
    </row>
    <row r="13" spans="1:8" x14ac:dyDescent="0.2">
      <c r="A13" s="15" t="s">
        <v>96</v>
      </c>
      <c r="B13" s="47">
        <f>Projections!G31</f>
        <v>161621.22105198659</v>
      </c>
      <c r="C13" s="15"/>
      <c r="D13" s="15"/>
      <c r="E13" s="15"/>
      <c r="F13" s="15"/>
      <c r="G13" s="15"/>
      <c r="H13" s="15"/>
    </row>
    <row r="14" spans="1:8" x14ac:dyDescent="0.2">
      <c r="A14" s="15" t="s">
        <v>97</v>
      </c>
      <c r="B14" s="47">
        <f>Assumptions!$B$45</f>
        <v>0.03</v>
      </c>
      <c r="C14" s="15"/>
      <c r="D14" s="15"/>
      <c r="E14" s="15"/>
      <c r="F14" s="15"/>
      <c r="G14" s="15"/>
      <c r="H14" s="15"/>
    </row>
    <row r="15" spans="1:8" x14ac:dyDescent="0.2">
      <c r="A15" s="15" t="s">
        <v>61</v>
      </c>
      <c r="B15" s="47">
        <f>Assumptions!$B$44</f>
        <v>0.09</v>
      </c>
      <c r="C15" s="15"/>
      <c r="D15" s="15"/>
      <c r="E15" s="15"/>
      <c r="F15" s="15"/>
      <c r="G15" s="15"/>
      <c r="H15" s="15"/>
    </row>
    <row r="16" spans="1:8" x14ac:dyDescent="0.2">
      <c r="A16" s="15" t="s">
        <v>103</v>
      </c>
      <c r="B16" s="26">
        <f>B13*(1+B14)/(B15-B14)</f>
        <v>2774497.6280591036</v>
      </c>
      <c r="C16" s="15"/>
      <c r="D16" s="15"/>
      <c r="E16" s="15"/>
      <c r="F16" s="15"/>
      <c r="G16" s="15"/>
      <c r="H16" s="15"/>
    </row>
    <row r="17" spans="1:8" x14ac:dyDescent="0.2">
      <c r="A17" s="15" t="s">
        <v>98</v>
      </c>
      <c r="B17" s="25">
        <v>4.5</v>
      </c>
      <c r="C17" s="15"/>
      <c r="D17" s="15"/>
      <c r="E17" s="15"/>
      <c r="F17" s="15"/>
      <c r="G17" s="15"/>
      <c r="H17" s="15"/>
    </row>
    <row r="18" spans="1:8" x14ac:dyDescent="0.2">
      <c r="A18" s="15" t="s">
        <v>99</v>
      </c>
      <c r="B18" s="25">
        <f>1/(1+B15)^B17</f>
        <v>0.67854828827158709</v>
      </c>
      <c r="C18" s="15"/>
      <c r="D18" s="15"/>
      <c r="E18" s="15"/>
      <c r="F18" s="15"/>
      <c r="G18" s="15"/>
      <c r="H18" s="15"/>
    </row>
    <row r="19" spans="1:8" x14ac:dyDescent="0.2">
      <c r="A19" s="39" t="s">
        <v>100</v>
      </c>
      <c r="B19" s="40">
        <f>B16*B18</f>
        <v>1882630.6163330832</v>
      </c>
      <c r="C19" s="53"/>
      <c r="D19" s="53"/>
      <c r="E19" s="53"/>
      <c r="F19" s="53"/>
      <c r="G19" s="53"/>
      <c r="H19" s="53"/>
    </row>
    <row r="20" spans="1:8" x14ac:dyDescent="0.2">
      <c r="A20" s="15"/>
      <c r="B20" s="15"/>
      <c r="C20" s="15"/>
      <c r="D20" s="15"/>
      <c r="E20" s="15"/>
      <c r="F20" s="15"/>
      <c r="G20" s="15"/>
      <c r="H20" s="15"/>
    </row>
    <row r="21" spans="1:8" x14ac:dyDescent="0.2">
      <c r="A21" s="15"/>
      <c r="B21" s="15"/>
      <c r="C21" s="15"/>
      <c r="D21" s="15"/>
      <c r="E21" s="15"/>
      <c r="F21" s="15"/>
      <c r="G21" s="15"/>
      <c r="H21" s="15"/>
    </row>
    <row r="22" spans="1:8" x14ac:dyDescent="0.2">
      <c r="A22" s="48" t="s">
        <v>104</v>
      </c>
      <c r="B22" s="48"/>
      <c r="C22" s="48"/>
      <c r="D22" s="48"/>
      <c r="E22" s="48"/>
      <c r="F22" s="48"/>
      <c r="G22" s="48"/>
      <c r="H22" s="48"/>
    </row>
    <row r="23" spans="1:8" x14ac:dyDescent="0.2">
      <c r="A23" s="15" t="s">
        <v>101</v>
      </c>
      <c r="B23" s="25">
        <f>G9</f>
        <v>519704.7245451326</v>
      </c>
      <c r="C23" s="15"/>
      <c r="D23" s="15"/>
      <c r="E23" s="15"/>
      <c r="F23" s="15"/>
      <c r="G23" s="15"/>
      <c r="H23" s="15"/>
    </row>
    <row r="24" spans="1:8" x14ac:dyDescent="0.2">
      <c r="A24" s="15" t="s">
        <v>102</v>
      </c>
      <c r="B24" s="25">
        <f>B19</f>
        <v>1882630.6163330832</v>
      </c>
      <c r="C24" s="15"/>
      <c r="D24" s="15"/>
      <c r="E24" s="15"/>
      <c r="F24" s="15"/>
      <c r="G24" s="15"/>
      <c r="H24" s="15"/>
    </row>
    <row r="25" spans="1:8" x14ac:dyDescent="0.2">
      <c r="A25" s="39" t="s">
        <v>105</v>
      </c>
      <c r="B25" s="39">
        <f>B23+B24</f>
        <v>2402335.3408782156</v>
      </c>
      <c r="C25" s="39"/>
      <c r="D25" s="39"/>
      <c r="E25" s="39"/>
      <c r="F25" s="39"/>
      <c r="G25" s="39"/>
      <c r="H25" s="39"/>
    </row>
    <row r="26" spans="1:8" x14ac:dyDescent="0.2">
      <c r="A26" s="15" t="s">
        <v>106</v>
      </c>
      <c r="B26" s="15">
        <f>B24/B25</f>
        <v>0.78366686960732745</v>
      </c>
      <c r="C26" s="15"/>
      <c r="D26" s="15"/>
      <c r="E26" s="15"/>
      <c r="F26" s="15"/>
      <c r="G26" s="15"/>
      <c r="H26" s="15"/>
    </row>
    <row r="27" spans="1:8" x14ac:dyDescent="0.2">
      <c r="A27" s="15"/>
      <c r="B27" s="15"/>
      <c r="C27" s="15"/>
      <c r="D27" s="15"/>
      <c r="E27" s="15"/>
      <c r="F27" s="15"/>
      <c r="G27" s="15"/>
      <c r="H27" s="15"/>
    </row>
    <row r="28" spans="1:8" x14ac:dyDescent="0.2">
      <c r="A28" s="49" t="s">
        <v>107</v>
      </c>
      <c r="B28" s="49"/>
      <c r="C28" s="49"/>
      <c r="D28" s="49"/>
      <c r="E28" s="49"/>
      <c r="F28" s="49"/>
      <c r="G28" s="49"/>
      <c r="H28" s="49"/>
    </row>
    <row r="29" spans="1:8" x14ac:dyDescent="0.2">
      <c r="A29" s="15" t="s">
        <v>105</v>
      </c>
      <c r="B29" s="15">
        <f>B25</f>
        <v>2402335.3408782156</v>
      </c>
      <c r="C29" s="15"/>
      <c r="D29" s="15"/>
      <c r="E29" s="15"/>
      <c r="F29" s="15"/>
      <c r="G29" s="15"/>
      <c r="H29" s="15"/>
    </row>
    <row r="30" spans="1:8" x14ac:dyDescent="0.2">
      <c r="A30" s="15" t="s">
        <v>108</v>
      </c>
      <c r="B30" s="47">
        <f>Assumptions!$B$51</f>
        <v>-26000</v>
      </c>
      <c r="C30" s="15"/>
      <c r="D30" s="15"/>
      <c r="E30" s="15"/>
      <c r="F30" s="15"/>
      <c r="G30" s="15"/>
      <c r="H30" s="15"/>
    </row>
    <row r="31" spans="1:8" x14ac:dyDescent="0.2">
      <c r="A31" s="39" t="s">
        <v>109</v>
      </c>
      <c r="B31" s="39">
        <f>B29-B30</f>
        <v>2428335.3408782156</v>
      </c>
      <c r="C31" s="39"/>
      <c r="D31" s="39"/>
      <c r="E31" s="39"/>
      <c r="F31" s="39"/>
      <c r="G31" s="39"/>
      <c r="H31" s="39"/>
    </row>
    <row r="32" spans="1:8" x14ac:dyDescent="0.2">
      <c r="A32" s="15"/>
      <c r="B32" s="15"/>
      <c r="C32" s="15"/>
      <c r="D32" s="15"/>
      <c r="E32" s="15"/>
      <c r="F32" s="15"/>
      <c r="G32" s="15"/>
      <c r="H32" s="15"/>
    </row>
    <row r="33" spans="1:8" x14ac:dyDescent="0.2">
      <c r="A33" s="15" t="s">
        <v>66</v>
      </c>
      <c r="B33" s="47">
        <f>Assumptions!$B$50</f>
        <v>7430</v>
      </c>
      <c r="C33" s="15"/>
      <c r="D33" s="15"/>
      <c r="E33" s="15"/>
      <c r="F33" s="15"/>
      <c r="G33" s="15"/>
      <c r="H33" s="15"/>
    </row>
    <row r="34" spans="1:8" x14ac:dyDescent="0.2">
      <c r="A34" s="39" t="s">
        <v>110</v>
      </c>
      <c r="B34" s="61">
        <f>B31/B33</f>
        <v>326.82844426355524</v>
      </c>
      <c r="C34" s="53"/>
      <c r="D34" s="53"/>
      <c r="E34" s="53"/>
      <c r="F34" s="53"/>
      <c r="G34" s="53"/>
      <c r="H34" s="53"/>
    </row>
    <row r="35" spans="1:8" x14ac:dyDescent="0.2">
      <c r="A35" s="15" t="s">
        <v>111</v>
      </c>
      <c r="B35" s="47">
        <f>Assumptions!$B$52</f>
        <v>420</v>
      </c>
      <c r="C35" s="15"/>
      <c r="D35" s="15"/>
      <c r="E35" s="15"/>
      <c r="F35" s="15"/>
      <c r="G35" s="15"/>
      <c r="H35" s="15"/>
    </row>
    <row r="36" spans="1:8" x14ac:dyDescent="0.2">
      <c r="A36" s="20" t="s">
        <v>112</v>
      </c>
      <c r="B36" s="20">
        <f>B34/B35-1</f>
        <v>-0.22183703746772565</v>
      </c>
      <c r="C36" s="20"/>
      <c r="D36" s="20"/>
      <c r="E36" s="20"/>
      <c r="F36" s="20"/>
      <c r="G36" s="20"/>
      <c r="H36" s="20"/>
    </row>
    <row r="37" spans="1:8" x14ac:dyDescent="0.2">
      <c r="A37" s="20" t="s">
        <v>113</v>
      </c>
      <c r="B37" s="50" t="str">
        <f>IF(B34&gt;B35*1.1,"BUY",IF(B34&gt;=B35*0.9,"HOLD","SELL"))</f>
        <v>SELL</v>
      </c>
      <c r="C37" s="15"/>
      <c r="D37" s="15"/>
      <c r="E37" s="15"/>
      <c r="F37" s="15"/>
      <c r="G37" s="15"/>
      <c r="H37" s="15"/>
    </row>
    <row r="38" spans="1:8" x14ac:dyDescent="0.2">
      <c r="A38" s="15"/>
      <c r="B38" s="15"/>
      <c r="C38" s="15"/>
      <c r="D38" s="15"/>
      <c r="E38" s="15"/>
      <c r="F38" s="15"/>
      <c r="G38" s="15"/>
      <c r="H38" s="15"/>
    </row>
    <row r="39" spans="1:8" x14ac:dyDescent="0.2">
      <c r="A39" s="15"/>
      <c r="B39" s="15"/>
      <c r="C39" s="15"/>
      <c r="D39" s="15"/>
      <c r="E39" s="15"/>
      <c r="F39" s="15"/>
      <c r="G39" s="15"/>
      <c r="H39" s="15"/>
    </row>
    <row r="40" spans="1:8" x14ac:dyDescent="0.2">
      <c r="A40" s="32" t="s">
        <v>205</v>
      </c>
      <c r="B40" s="33"/>
      <c r="C40" s="33"/>
      <c r="D40" s="33"/>
      <c r="E40" s="33"/>
      <c r="F40" s="33"/>
      <c r="G40" s="33"/>
      <c r="H40" s="33"/>
    </row>
    <row r="41" spans="1:8" x14ac:dyDescent="0.2">
      <c r="A41" s="18" t="s">
        <v>206</v>
      </c>
      <c r="B41" s="19"/>
      <c r="C41" s="19"/>
      <c r="D41" s="19"/>
      <c r="E41" s="19"/>
      <c r="F41" s="19"/>
      <c r="G41" s="19"/>
      <c r="H41" s="19"/>
    </row>
    <row r="42" spans="1:8" x14ac:dyDescent="0.2">
      <c r="A42" s="15" t="s">
        <v>207</v>
      </c>
      <c r="B42" s="22">
        <v>4.3799999999999999E-2</v>
      </c>
      <c r="C42" s="15"/>
      <c r="D42" s="15"/>
      <c r="E42" s="15"/>
      <c r="F42" s="15"/>
      <c r="G42" s="15"/>
      <c r="H42" s="15"/>
    </row>
    <row r="43" spans="1:8" x14ac:dyDescent="0.2">
      <c r="A43" s="15" t="s">
        <v>208</v>
      </c>
      <c r="B43" s="22">
        <v>5.5E-2</v>
      </c>
      <c r="C43" s="15"/>
      <c r="D43" s="15"/>
      <c r="E43" s="15"/>
      <c r="F43" s="15"/>
      <c r="G43" s="15"/>
      <c r="H43" s="15"/>
    </row>
    <row r="44" spans="1:8" x14ac:dyDescent="0.2">
      <c r="A44" s="15" t="s">
        <v>209</v>
      </c>
      <c r="B44" s="22">
        <v>0.9</v>
      </c>
      <c r="C44" s="15"/>
      <c r="D44" s="15"/>
      <c r="E44" s="15"/>
      <c r="F44" s="15"/>
      <c r="G44" s="15"/>
      <c r="H44" s="15"/>
    </row>
    <row r="45" spans="1:8" x14ac:dyDescent="0.2">
      <c r="A45" s="53" t="s">
        <v>210</v>
      </c>
      <c r="B45" s="40">
        <f>B42+B44*B43</f>
        <v>9.3299999999999994E-2</v>
      </c>
      <c r="C45" s="53"/>
      <c r="D45" s="53"/>
      <c r="E45" s="53"/>
      <c r="F45" s="53"/>
      <c r="G45" s="53"/>
      <c r="H45" s="53"/>
    </row>
    <row r="46" spans="1:8" x14ac:dyDescent="0.2">
      <c r="A46" s="15"/>
      <c r="B46" s="15"/>
      <c r="C46" s="15"/>
      <c r="D46" s="15"/>
      <c r="E46" s="15"/>
      <c r="F46" s="15"/>
      <c r="G46" s="15"/>
      <c r="H46" s="15"/>
    </row>
    <row r="47" spans="1:8" x14ac:dyDescent="0.2">
      <c r="A47" s="18" t="s">
        <v>211</v>
      </c>
      <c r="B47" s="19"/>
      <c r="C47" s="19"/>
      <c r="D47" s="19"/>
      <c r="E47" s="19"/>
      <c r="F47" s="19"/>
      <c r="G47" s="19"/>
      <c r="H47" s="19"/>
    </row>
    <row r="48" spans="1:8" x14ac:dyDescent="0.2">
      <c r="A48" s="15" t="s">
        <v>212</v>
      </c>
      <c r="B48" s="22">
        <v>3.7999999999999999E-2</v>
      </c>
      <c r="C48" s="15"/>
      <c r="D48" s="15"/>
      <c r="E48" s="15"/>
      <c r="F48" s="15"/>
      <c r="G48" s="15"/>
      <c r="H48" s="15"/>
    </row>
    <row r="49" spans="1:8" x14ac:dyDescent="0.2">
      <c r="A49" s="15" t="s">
        <v>213</v>
      </c>
      <c r="B49" s="47">
        <f>Assumptions!$B$36</f>
        <v>0.18</v>
      </c>
      <c r="C49" s="15"/>
      <c r="D49" s="15"/>
      <c r="E49" s="15"/>
      <c r="F49" s="15"/>
      <c r="G49" s="15"/>
      <c r="H49" s="15"/>
    </row>
    <row r="50" spans="1:8" x14ac:dyDescent="0.2">
      <c r="A50" s="53" t="s">
        <v>214</v>
      </c>
      <c r="B50" s="39">
        <f>B48*(1-B49)</f>
        <v>3.116E-2</v>
      </c>
      <c r="C50" s="53"/>
      <c r="D50" s="53"/>
      <c r="E50" s="53"/>
      <c r="F50" s="53"/>
      <c r="G50" s="53"/>
      <c r="H50" s="53"/>
    </row>
    <row r="51" spans="1:8" x14ac:dyDescent="0.2">
      <c r="A51" s="15"/>
      <c r="B51" s="15"/>
      <c r="C51" s="15"/>
      <c r="D51" s="15"/>
      <c r="E51" s="15"/>
      <c r="F51" s="15"/>
      <c r="G51" s="15"/>
      <c r="H51" s="15"/>
    </row>
    <row r="52" spans="1:8" x14ac:dyDescent="0.2">
      <c r="A52" s="18" t="s">
        <v>215</v>
      </c>
      <c r="B52" s="19"/>
      <c r="C52" s="19"/>
      <c r="D52" s="19"/>
      <c r="E52" s="19"/>
      <c r="F52" s="19"/>
      <c r="G52" s="19"/>
      <c r="H52" s="19"/>
    </row>
    <row r="53" spans="1:8" x14ac:dyDescent="0.2">
      <c r="A53" s="15" t="s">
        <v>216</v>
      </c>
      <c r="B53" s="47">
        <f>Assumptions!$B$52*Assumptions!$B$50</f>
        <v>3120600</v>
      </c>
      <c r="C53" s="15"/>
      <c r="D53" s="15"/>
      <c r="E53" s="15"/>
      <c r="F53" s="15"/>
      <c r="G53" s="15"/>
      <c r="H53" s="15"/>
    </row>
    <row r="54" spans="1:8" x14ac:dyDescent="0.2">
      <c r="A54" s="15" t="s">
        <v>217</v>
      </c>
      <c r="B54" s="47">
        <f>Assumptions!$B$51</f>
        <v>-26000</v>
      </c>
      <c r="C54" s="15"/>
      <c r="D54" s="15"/>
      <c r="E54" s="15"/>
      <c r="F54" s="15"/>
      <c r="G54" s="15"/>
      <c r="H54" s="15"/>
    </row>
    <row r="55" spans="1:8" x14ac:dyDescent="0.2">
      <c r="A55" s="15" t="s">
        <v>218</v>
      </c>
      <c r="B55" s="20">
        <f>B53+B54</f>
        <v>3094600</v>
      </c>
      <c r="C55" s="15"/>
      <c r="D55" s="15"/>
      <c r="E55" s="15"/>
      <c r="F55" s="15"/>
      <c r="G55" s="15"/>
      <c r="H55" s="15"/>
    </row>
    <row r="56" spans="1:8" x14ac:dyDescent="0.2">
      <c r="A56" s="15" t="s">
        <v>219</v>
      </c>
      <c r="B56" s="15">
        <f>B53/B55</f>
        <v>1.0084017320493763</v>
      </c>
      <c r="C56" s="15"/>
      <c r="D56" s="15"/>
      <c r="E56" s="15"/>
      <c r="F56" s="15"/>
      <c r="G56" s="15"/>
      <c r="H56" s="15"/>
    </row>
    <row r="57" spans="1:8" x14ac:dyDescent="0.2">
      <c r="A57" s="15" t="s">
        <v>220</v>
      </c>
      <c r="B57" s="15">
        <f>MAX(0,B54/B55)</f>
        <v>0</v>
      </c>
      <c r="C57" s="15"/>
      <c r="D57" s="15"/>
      <c r="E57" s="15"/>
      <c r="F57" s="15"/>
      <c r="G57" s="15"/>
      <c r="H57" s="15"/>
    </row>
    <row r="58" spans="1:8" x14ac:dyDescent="0.2">
      <c r="A58" s="15"/>
      <c r="B58" s="15"/>
      <c r="C58" s="15"/>
      <c r="D58" s="15"/>
      <c r="E58" s="15"/>
      <c r="F58" s="15"/>
      <c r="G58" s="15"/>
      <c r="H58" s="15"/>
    </row>
    <row r="59" spans="1:8" x14ac:dyDescent="0.2">
      <c r="A59" s="18" t="s">
        <v>221</v>
      </c>
      <c r="B59" s="19"/>
      <c r="C59" s="19"/>
      <c r="D59" s="19"/>
      <c r="E59" s="19"/>
      <c r="F59" s="19"/>
      <c r="G59" s="19"/>
      <c r="H59" s="19"/>
    </row>
    <row r="60" spans="1:8" x14ac:dyDescent="0.2">
      <c r="A60" s="53" t="s">
        <v>222</v>
      </c>
      <c r="B60" s="39">
        <f>B45*B56+B50*B57</f>
        <v>9.4083881600206809E-2</v>
      </c>
      <c r="C60" s="53"/>
      <c r="D60" s="53"/>
      <c r="E60" s="53"/>
      <c r="F60" s="53"/>
      <c r="G60" s="53"/>
      <c r="H60" s="53"/>
    </row>
    <row r="61" spans="1:8" x14ac:dyDescent="0.2">
      <c r="A61" s="15" t="s">
        <v>223</v>
      </c>
      <c r="B61" s="47">
        <f>Assumptions!$B$44</f>
        <v>0.09</v>
      </c>
      <c r="C61" s="15"/>
      <c r="D61" s="15"/>
      <c r="E61" s="15"/>
      <c r="F61" s="15"/>
      <c r="G61" s="15"/>
      <c r="H61" s="15"/>
    </row>
    <row r="62" spans="1:8" x14ac:dyDescent="0.2">
      <c r="A62" s="28" t="s">
        <v>224</v>
      </c>
      <c r="B62" s="15">
        <f>B61-B60</f>
        <v>-4.0838816002068123E-3</v>
      </c>
      <c r="C62" s="15"/>
      <c r="D62" s="15"/>
      <c r="E62" s="15"/>
      <c r="F62" s="15"/>
      <c r="G62" s="15"/>
      <c r="H62" s="15"/>
    </row>
    <row r="63" spans="1:8" x14ac:dyDescent="0.2">
      <c r="A63" s="77" t="s">
        <v>225</v>
      </c>
      <c r="B63" s="74"/>
      <c r="C63" s="74"/>
      <c r="D63" s="74"/>
      <c r="E63" s="74"/>
      <c r="F63" s="74"/>
      <c r="G63" s="74"/>
      <c r="H63" s="74"/>
    </row>
  </sheetData>
  <mergeCells count="8">
    <mergeCell ref="A52:H52"/>
    <mergeCell ref="A59:H59"/>
    <mergeCell ref="A63:H63"/>
    <mergeCell ref="A4:H4"/>
    <mergeCell ref="A12:H12"/>
    <mergeCell ref="A40:H40"/>
    <mergeCell ref="A41:H41"/>
    <mergeCell ref="A47:H4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84DA2-1BDE-7A43-BE21-07084B4688D3}">
  <sheetPr>
    <tabColor rgb="FFFF6600"/>
  </sheetPr>
  <dimension ref="A1:I31"/>
  <sheetViews>
    <sheetView workbookViewId="0">
      <pane ySplit="3" topLeftCell="A4" activePane="bottomLeft" state="frozen"/>
      <selection pane="bottomLeft"/>
    </sheetView>
  </sheetViews>
  <sheetFormatPr baseColWidth="10" defaultRowHeight="16" x14ac:dyDescent="0.2"/>
  <cols>
    <col min="1" max="1" width="12.5" customWidth="1"/>
    <col min="2" max="8" width="13.33203125" customWidth="1"/>
  </cols>
  <sheetData>
    <row r="1" spans="1:9" ht="19" x14ac:dyDescent="0.25">
      <c r="A1" s="4" t="s">
        <v>114</v>
      </c>
      <c r="B1" s="15"/>
      <c r="C1" s="15"/>
      <c r="D1" s="15"/>
      <c r="E1" s="15"/>
      <c r="F1" s="15"/>
      <c r="G1" s="15"/>
      <c r="H1" s="15"/>
      <c r="I1" s="15"/>
    </row>
    <row r="2" spans="1:9" x14ac:dyDescent="0.2">
      <c r="A2" s="16" t="s">
        <v>115</v>
      </c>
      <c r="B2" s="15"/>
      <c r="C2" s="15"/>
      <c r="D2" s="15"/>
      <c r="E2" s="15"/>
      <c r="F2" s="15"/>
      <c r="G2" s="15"/>
      <c r="H2" s="15"/>
      <c r="I2" s="15"/>
    </row>
    <row r="3" spans="1:9" x14ac:dyDescent="0.2">
      <c r="A3" s="15"/>
      <c r="B3" s="15"/>
      <c r="C3" s="15"/>
      <c r="D3" s="15"/>
      <c r="E3" s="15"/>
      <c r="F3" s="15"/>
      <c r="G3" s="15"/>
      <c r="H3" s="15"/>
      <c r="I3" s="15"/>
    </row>
    <row r="4" spans="1:9" x14ac:dyDescent="0.2">
      <c r="A4" s="62" t="s">
        <v>116</v>
      </c>
      <c r="B4" s="33"/>
      <c r="C4" s="33"/>
      <c r="D4" s="33"/>
      <c r="E4" s="33"/>
      <c r="F4" s="33"/>
      <c r="G4" s="33"/>
      <c r="H4" s="33"/>
      <c r="I4" s="33"/>
    </row>
    <row r="5" spans="1:9" x14ac:dyDescent="0.2">
      <c r="A5" s="54" t="s">
        <v>119</v>
      </c>
      <c r="B5" s="46">
        <v>1.4999999999999999E-2</v>
      </c>
      <c r="C5" s="46">
        <v>0.02</v>
      </c>
      <c r="D5" s="46">
        <v>2.5000000000000001E-2</v>
      </c>
      <c r="E5" s="46">
        <v>0.03</v>
      </c>
      <c r="F5" s="46">
        <v>3.5000000000000003E-2</v>
      </c>
      <c r="G5" s="46">
        <v>0.04</v>
      </c>
      <c r="H5" s="46">
        <v>4.4999999999999998E-2</v>
      </c>
      <c r="I5" s="15" t="s">
        <v>118</v>
      </c>
    </row>
    <row r="6" spans="1:9" x14ac:dyDescent="0.2">
      <c r="A6" s="23">
        <v>7.0000000000000007E-2</v>
      </c>
      <c r="B6" s="15">
        <f>(((((Historicals!$D$6*(1+Assumptions!$B$26))*(Assumptions!$B$35*(1-Assumptions!$B$36)+Assumptions!$B$37-Assumptions!$B$38)-((Historicals!$D$6*(1+Assumptions!$B$26))-Historicals!$D$6)*Assumptions!$B$39)/(1+$A6)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6)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6)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6)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6)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B$5)/($A6-B$5))/(1+$A6)^4.5))-Assumptions!$B$51)/Assumptions!$B$50</f>
        <v>372.93552524344176</v>
      </c>
      <c r="C6" s="15">
        <f>(((((Historicals!$D$6*(1+Assumptions!$B$26))*(Assumptions!$B$35*(1-Assumptions!$B$36)+Assumptions!$B$37-Assumptions!$B$38)-((Historicals!$D$6*(1+Assumptions!$B$26))-Historicals!$D$6)*Assumptions!$B$39)/(1+$A6)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6)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6)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6)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6)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C$5)/($A6-C$5))/(1+$A6)^4.5))-Assumptions!$B$51)/Assumptions!$B$50</f>
        <v>404.14623596382535</v>
      </c>
      <c r="D6" s="15">
        <f>(((((Historicals!$D$6*(1+Assumptions!$B$26))*(Assumptions!$B$35*(1-Assumptions!$B$36)+Assumptions!$B$37-Assumptions!$B$38)-((Historicals!$D$6*(1+Assumptions!$B$26))-Historicals!$D$6)*Assumptions!$B$39)/(1+$A6)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6)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6)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6)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6)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D$5)/($A6-D$5))/(1+$A6)^4.5))-Assumptions!$B$51)/Assumptions!$B$50</f>
        <v>442.2926601776274</v>
      </c>
      <c r="E6" s="15">
        <f>(((((Historicals!$D$6*(1+Assumptions!$B$26))*(Assumptions!$B$35*(1-Assumptions!$B$36)+Assumptions!$B$37-Assumptions!$B$38)-((Historicals!$D$6*(1+Assumptions!$B$26))-Historicals!$D$6)*Assumptions!$B$39)/(1+$A6)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6)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6)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6)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6)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E$5)/($A6-E$5))/(1+$A6)^4.5))-Assumptions!$B$51)/Assumptions!$B$50</f>
        <v>489.97569044488012</v>
      </c>
      <c r="F6" s="15">
        <f>(((((Historicals!$D$6*(1+Assumptions!$B$26))*(Assumptions!$B$35*(1-Assumptions!$B$36)+Assumptions!$B$37-Assumptions!$B$38)-((Historicals!$D$6*(1+Assumptions!$B$26))-Historicals!$D$6)*Assumptions!$B$39)/(1+$A6)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6)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6)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6)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6)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F$5)/($A6-F$5))/(1+$A6)^4.5))-Assumptions!$B$51)/Assumptions!$B$50</f>
        <v>551.28244364563352</v>
      </c>
      <c r="G6" s="15">
        <f>(((((Historicals!$D$6*(1+Assumptions!$B$26))*(Assumptions!$B$35*(1-Assumptions!$B$36)+Assumptions!$B$37-Assumptions!$B$38)-((Historicals!$D$6*(1+Assumptions!$B$26))-Historicals!$D$6)*Assumptions!$B$39)/(1+$A6)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6)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6)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6)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6)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G$5)/($A6-G$5))/(1+$A6)^4.5))-Assumptions!$B$51)/Assumptions!$B$50</f>
        <v>633.02478124663799</v>
      </c>
      <c r="H6" s="15">
        <f>(((((Historicals!$D$6*(1+Assumptions!$B$26))*(Assumptions!$B$35*(1-Assumptions!$B$36)+Assumptions!$B$37-Assumptions!$B$38)-((Historicals!$D$6*(1+Assumptions!$B$26))-Historicals!$D$6)*Assumptions!$B$39)/(1+$A6)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6)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6)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6)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6)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H$5)/($A6-H$5))/(1+$A6)^4.5))-Assumptions!$B$51)/Assumptions!$B$50</f>
        <v>747.4640538880443</v>
      </c>
      <c r="I6" s="15"/>
    </row>
    <row r="7" spans="1:9" x14ac:dyDescent="0.2">
      <c r="A7" s="23">
        <v>7.4999999999999997E-2</v>
      </c>
      <c r="B7" s="15">
        <f>(((((Historicals!$D$6*(1+Assumptions!$B$26))*(Assumptions!$B$35*(1-Assumptions!$B$36)+Assumptions!$B$37-Assumptions!$B$38)-((Historicals!$D$6*(1+Assumptions!$B$26))-Historicals!$D$6)*Assumptions!$B$39)/(1+$A7)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7)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7)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7)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7)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B$5)/($A7-B$5))/(1+$A7)^4.5))-Assumptions!$B$51)/Assumptions!$B$50</f>
        <v>341.7468754204188</v>
      </c>
      <c r="C7" s="15">
        <f>(((((Historicals!$D$6*(1+Assumptions!$B$26))*(Assumptions!$B$35*(1-Assumptions!$B$36)+Assumptions!$B$37-Assumptions!$B$38)-((Historicals!$D$6*(1+Assumptions!$B$26))-Historicals!$D$6)*Assumptions!$B$39)/(1+$A7)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7)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7)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7)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7)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C$5)/($A7-C$5))/(1+$A7)^4.5))-Assumptions!$B$51)/Assumptions!$B$50</f>
        <v>367.33485581929961</v>
      </c>
      <c r="D7" s="15">
        <f>(((((Historicals!$D$6*(1+Assumptions!$B$26))*(Assumptions!$B$35*(1-Assumptions!$B$36)+Assumptions!$B$37-Assumptions!$B$38)-((Historicals!$D$6*(1+Assumptions!$B$26))-Historicals!$D$6)*Assumptions!$B$39)/(1+$A7)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7)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7)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7)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7)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D$5)/($A7-D$5))/(1+$A7)^4.5))-Assumptions!$B$51)/Assumptions!$B$50</f>
        <v>398.04043229795644</v>
      </c>
      <c r="E7" s="15">
        <f>(((((Historicals!$D$6*(1+Assumptions!$B$26))*(Assumptions!$B$35*(1-Assumptions!$B$36)+Assumptions!$B$37-Assumptions!$B$38)-((Historicals!$D$6*(1+Assumptions!$B$26))-Historicals!$D$6)*Assumptions!$B$39)/(1+$A7)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7)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7)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7)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7)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E$5)/($A7-E$5))/(1+$A7)^4.5))-Assumptions!$B$51)/Assumptions!$B$50</f>
        <v>435.56947021631504</v>
      </c>
      <c r="F7" s="15">
        <f>(((((Historicals!$D$6*(1+Assumptions!$B$26))*(Assumptions!$B$35*(1-Assumptions!$B$36)+Assumptions!$B$37-Assumptions!$B$38)-((Historicals!$D$6*(1+Assumptions!$B$26))-Historicals!$D$6)*Assumptions!$B$39)/(1+$A7)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7)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7)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7)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7)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F$5)/($A7-F$5))/(1+$A7)^4.5))-Assumptions!$B$51)/Assumptions!$B$50</f>
        <v>482.48076761426307</v>
      </c>
      <c r="G7" s="15">
        <f>(((((Historicals!$D$6*(1+Assumptions!$B$26))*(Assumptions!$B$35*(1-Assumptions!$B$36)+Assumptions!$B$37-Assumptions!$B$38)-((Historicals!$D$6*(1+Assumptions!$B$26))-Historicals!$D$6)*Assumptions!$B$39)/(1+$A7)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7)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7)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7)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7)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G$5)/($A7-G$5))/(1+$A7)^4.5))-Assumptions!$B$51)/Assumptions!$B$50</f>
        <v>542.79529284019634</v>
      </c>
      <c r="H7" s="15">
        <f>(((((Historicals!$D$6*(1+Assumptions!$B$26))*(Assumptions!$B$35*(1-Assumptions!$B$36)+Assumptions!$B$37-Assumptions!$B$38)-((Historicals!$D$6*(1+Assumptions!$B$26))-Historicals!$D$6)*Assumptions!$B$39)/(1+$A7)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7)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7)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7)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7)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H$5)/($A7-H$5))/(1+$A7)^4.5))-Assumptions!$B$51)/Assumptions!$B$50</f>
        <v>623.21465980810729</v>
      </c>
      <c r="I7" s="15"/>
    </row>
    <row r="8" spans="1:9" x14ac:dyDescent="0.2">
      <c r="A8" s="23">
        <v>0.08</v>
      </c>
      <c r="B8" s="15">
        <f>(((((Historicals!$D$6*(1+Assumptions!$B$26))*(Assumptions!$B$35*(1-Assumptions!$B$36)+Assumptions!$B$37-Assumptions!$B$38)-((Historicals!$D$6*(1+Assumptions!$B$26))-Historicals!$D$6)*Assumptions!$B$39)/(1+$A8)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8)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8)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8)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8)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B$5)/($A8-B$5))/(1+$A8)^4.5))-Assumptions!$B$51)/Assumptions!$B$50</f>
        <v>315.36978409177965</v>
      </c>
      <c r="C8" s="15">
        <f>(((((Historicals!$D$6*(1+Assumptions!$B$26))*(Assumptions!$B$35*(1-Assumptions!$B$36)+Assumptions!$B$37-Assumptions!$B$38)-((Historicals!$D$6*(1+Assumptions!$B$26))-Historicals!$D$6)*Assumptions!$B$39)/(1+$A8)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8)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8)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8)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8)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C$5)/($A8-C$5))/(1+$A8)^4.5))-Assumptions!$B$51)/Assumptions!$B$50</f>
        <v>336.67234535208274</v>
      </c>
      <c r="D8" s="15">
        <f>(((((Historicals!$D$6*(1+Assumptions!$B$26))*(Assumptions!$B$35*(1-Assumptions!$B$36)+Assumptions!$B$37-Assumptions!$B$38)-((Historicals!$D$6*(1+Assumptions!$B$26))-Historicals!$D$6)*Assumptions!$B$39)/(1+$A8)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8)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8)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8)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8)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D$5)/($A8-D$5))/(1+$A8)^4.5))-Assumptions!$B$51)/Assumptions!$B$50</f>
        <v>361.84809956880446</v>
      </c>
      <c r="E8" s="15">
        <f>(((((Historicals!$D$6*(1+Assumptions!$B$26))*(Assumptions!$B$35*(1-Assumptions!$B$36)+Assumptions!$B$37-Assumptions!$B$38)-((Historicals!$D$6*(1+Assumptions!$B$26))-Historicals!$D$6)*Assumptions!$B$39)/(1+$A8)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8)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8)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8)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8)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E$5)/($A8-E$5))/(1+$A8)^4.5))-Assumptions!$B$51)/Assumptions!$B$50</f>
        <v>392.0590046288707</v>
      </c>
      <c r="F8" s="15">
        <f>(((((Historicals!$D$6*(1+Assumptions!$B$26))*(Assumptions!$B$35*(1-Assumptions!$B$36)+Assumptions!$B$37-Assumptions!$B$38)-((Historicals!$D$6*(1+Assumptions!$B$26))-Historicals!$D$6)*Assumptions!$B$39)/(1+$A8)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8)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8)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8)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8)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F$5)/($A8-F$5))/(1+$A8)^4.5))-Assumptions!$B$51)/Assumptions!$B$50</f>
        <v>428.98344414672931</v>
      </c>
      <c r="G8" s="15">
        <f>(((((Historicals!$D$6*(1+Assumptions!$B$26))*(Assumptions!$B$35*(1-Assumptions!$B$36)+Assumptions!$B$37-Assumptions!$B$38)-((Historicals!$D$6*(1+Assumptions!$B$26))-Historicals!$D$6)*Assumptions!$B$39)/(1+$A8)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8)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8)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8)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8)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G$5)/($A8-G$5))/(1+$A8)^4.5))-Assumptions!$B$51)/Assumptions!$B$50</f>
        <v>475.1389935440526</v>
      </c>
      <c r="H8" s="15">
        <f>(((((Historicals!$D$6*(1+Assumptions!$B$26))*(Assumptions!$B$35*(1-Assumptions!$B$36)+Assumptions!$B$37-Assumptions!$B$38)-((Historicals!$D$6*(1+Assumptions!$B$26))-Historicals!$D$6)*Assumptions!$B$39)/(1+$A8)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8)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8)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8)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8)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H$5)/($A8-H$5))/(1+$A8)^4.5))-Assumptions!$B$51)/Assumptions!$B$50</f>
        <v>534.48184276918255</v>
      </c>
      <c r="I8" s="15"/>
    </row>
    <row r="9" spans="1:9" x14ac:dyDescent="0.2">
      <c r="A9" s="23">
        <v>8.5000000000000006E-2</v>
      </c>
      <c r="B9" s="15">
        <f>(((((Historicals!$D$6*(1+Assumptions!$B$26))*(Assumptions!$B$35*(1-Assumptions!$B$36)+Assumptions!$B$37-Assumptions!$B$38)-((Historicals!$D$6*(1+Assumptions!$B$26))-Historicals!$D$6)*Assumptions!$B$39)/(1+$A9)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9)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9)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9)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9)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B$5)/($A9-B$5))/(1+$A9)^4.5))-Assumptions!$B$51)/Assumptions!$B$50</f>
        <v>292.77291271217956</v>
      </c>
      <c r="C9" s="15">
        <f>(((((Historicals!$D$6*(1+Assumptions!$B$26))*(Assumptions!$B$35*(1-Assumptions!$B$36)+Assumptions!$B$37-Assumptions!$B$38)-((Historicals!$D$6*(1+Assumptions!$B$26))-Historicals!$D$6)*Assumptions!$B$39)/(1+$A9)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9)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9)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9)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9)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C$5)/($A9-C$5))/(1+$A9)^4.5))-Assumptions!$B$51)/Assumptions!$B$50</f>
        <v>310.73943803343911</v>
      </c>
      <c r="D9" s="15">
        <f>(((((Historicals!$D$6*(1+Assumptions!$B$26))*(Assumptions!$B$35*(1-Assumptions!$B$36)+Assumptions!$B$37-Assumptions!$B$38)-((Historicals!$D$6*(1+Assumptions!$B$26))-Historicals!$D$6)*Assumptions!$B$39)/(1+$A9)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9)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9)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9)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9)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D$5)/($A9-D$5))/(1+$A9)^4.5))-Assumptions!$B$51)/Assumptions!$B$50</f>
        <v>331.70038424157514</v>
      </c>
      <c r="E9" s="15">
        <f>(((((Historicals!$D$6*(1+Assumptions!$B$26))*(Assumptions!$B$35*(1-Assumptions!$B$36)+Assumptions!$B$37-Assumptions!$B$38)-((Historicals!$D$6*(1+Assumptions!$B$26))-Historicals!$D$6)*Assumptions!$B$39)/(1+$A9)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9)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9)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9)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9)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E$5)/($A9-E$5))/(1+$A9)^4.5))-Assumptions!$B$51)/Assumptions!$B$50</f>
        <v>356.47241157846332</v>
      </c>
      <c r="F9" s="15">
        <f>(((((Historicals!$D$6*(1+Assumptions!$B$26))*(Assumptions!$B$35*(1-Assumptions!$B$36)+Assumptions!$B$37-Assumptions!$B$38)-((Historicals!$D$6*(1+Assumptions!$B$26))-Historicals!$D$6)*Assumptions!$B$39)/(1+$A9)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9)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9)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9)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9)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F$5)/($A9-F$5))/(1+$A9)^4.5))-Assumptions!$B$51)/Assumptions!$B$50</f>
        <v>386.19884438272902</v>
      </c>
      <c r="G9" s="15">
        <f>(((((Historicals!$D$6*(1+Assumptions!$B$26))*(Assumptions!$B$35*(1-Assumptions!$B$36)+Assumptions!$B$37-Assumptions!$B$38)-((Historicals!$D$6*(1+Assumptions!$B$26))-Historicals!$D$6)*Assumptions!$B$39)/(1+$A9)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9)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9)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9)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9)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G$5)/($A9-G$5))/(1+$A9)^4.5))-Assumptions!$B$51)/Assumptions!$B$50</f>
        <v>422.53115114349833</v>
      </c>
      <c r="H9" s="15">
        <f>(((((Historicals!$D$6*(1+Assumptions!$B$26))*(Assumptions!$B$35*(1-Assumptions!$B$36)+Assumptions!$B$37-Assumptions!$B$38)-((Historicals!$D$6*(1+Assumptions!$B$26))-Historicals!$D$6)*Assumptions!$B$39)/(1+$A9)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9)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9)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9)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9)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H$5)/($A9-H$5))/(1+$A9)^4.5))-Assumptions!$B$51)/Assumptions!$B$50</f>
        <v>467.94653459445976</v>
      </c>
      <c r="I9" s="15"/>
    </row>
    <row r="10" spans="1:9" x14ac:dyDescent="0.2">
      <c r="A10" s="23">
        <v>0.09</v>
      </c>
      <c r="B10" s="15">
        <f>(((((Historicals!$D$6*(1+Assumptions!$B$26))*(Assumptions!$B$35*(1-Assumptions!$B$36)+Assumptions!$B$37-Assumptions!$B$38)-((Historicals!$D$6*(1+Assumptions!$B$26))-Historicals!$D$6)*Assumptions!$B$39)/(1+$A10)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10)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10)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10)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10)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B$5)/($A10-B$5))/(1+$A10)^4.5))-Assumptions!$B$51)/Assumptions!$B$50</f>
        <v>273.19995384023696</v>
      </c>
      <c r="C10" s="15">
        <f>(((((Historicals!$D$6*(1+Assumptions!$B$26))*(Assumptions!$B$35*(1-Assumptions!$B$36)+Assumptions!$B$37-Assumptions!$B$38)-((Historicals!$D$6*(1+Assumptions!$B$26))-Historicals!$D$6)*Assumptions!$B$39)/(1+$A10)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10)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10)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10)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10)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C$5)/($A10-C$5))/(1+$A10)^4.5))-Assumptions!$B$51)/Assumptions!$B$50</f>
        <v>288.5223796754708</v>
      </c>
      <c r="D10" s="15">
        <f>(((((Historicals!$D$6*(1+Assumptions!$B$26))*(Assumptions!$B$35*(1-Assumptions!$B$36)+Assumptions!$B$37-Assumptions!$B$38)-((Historicals!$D$6*(1+Assumptions!$B$26))-Historicals!$D$6)*Assumptions!$B$39)/(1+$A10)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10)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10)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10)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10)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D$5)/($A10-D$5))/(1+$A10)^4.5))-Assumptions!$B$51)/Assumptions!$B$50</f>
        <v>306.20210179304814</v>
      </c>
      <c r="E10" s="39">
        <f>(((((Historicals!$D$6*(1+Assumptions!$B$26))*(Assumptions!$B$35*(1-Assumptions!$B$36)+Assumptions!$B$37-Assumptions!$B$38)-((Historicals!$D$6*(1+Assumptions!$B$26))-Historicals!$D$6)*Assumptions!$B$39)/(1+$A10)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10)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10)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10)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10)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E$5)/($A10-E$5))/(1+$A10)^4.5))-Assumptions!$B$51)/Assumptions!$B$50</f>
        <v>326.82844426355524</v>
      </c>
      <c r="F10" s="15">
        <f>(((((Historicals!$D$6*(1+Assumptions!$B$26))*(Assumptions!$B$35*(1-Assumptions!$B$36)+Assumptions!$B$37-Assumptions!$B$38)-((Historicals!$D$6*(1+Assumptions!$B$26))-Historicals!$D$6)*Assumptions!$B$39)/(1+$A10)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10)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10)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10)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10)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F$5)/($A10-F$5))/(1+$A10)^4.5))-Assumptions!$B$51)/Assumptions!$B$50</f>
        <v>351.20503081960896</v>
      </c>
      <c r="G10" s="15">
        <f>(((((Historicals!$D$6*(1+Assumptions!$B$26))*(Assumptions!$B$35*(1-Assumptions!$B$36)+Assumptions!$B$37-Assumptions!$B$38)-((Historicals!$D$6*(1+Assumptions!$B$26))-Historicals!$D$6)*Assumptions!$B$39)/(1+$A10)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10)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10)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10)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10)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G$5)/($A10-G$5))/(1+$A10)^4.5))-Assumptions!$B$51)/Assumptions!$B$50</f>
        <v>380.45693468687352</v>
      </c>
      <c r="H10" s="15">
        <f>(((((Historicals!$D$6*(1+Assumptions!$B$26))*(Assumptions!$B$35*(1-Assumptions!$B$36)+Assumptions!$B$37-Assumptions!$B$38)-((Historicals!$D$6*(1+Assumptions!$B$26))-Historicals!$D$6)*Assumptions!$B$39)/(1+$A10)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10)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10)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10)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10)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H$5)/($A10-H$5))/(1+$A10)^4.5))-Assumptions!$B$51)/Assumptions!$B$50</f>
        <v>416.20926163575223</v>
      </c>
      <c r="I10" s="15"/>
    </row>
    <row r="11" spans="1:9" x14ac:dyDescent="0.2">
      <c r="A11" s="23">
        <v>9.5000000000000001E-2</v>
      </c>
      <c r="B11" s="15">
        <f>(((((Historicals!$D$6*(1+Assumptions!$B$26))*(Assumptions!$B$35*(1-Assumptions!$B$36)+Assumptions!$B$37-Assumptions!$B$38)-((Historicals!$D$6*(1+Assumptions!$B$26))-Historicals!$D$6)*Assumptions!$B$39)/(1+$A11)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11)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11)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11)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11)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B$5)/($A11-B$5))/(1+$A11)^4.5))-Assumptions!$B$51)/Assumptions!$B$50</f>
        <v>256.08368369212826</v>
      </c>
      <c r="C11" s="15">
        <f>(((((Historicals!$D$6*(1+Assumptions!$B$26))*(Assumptions!$B$35*(1-Assumptions!$B$36)+Assumptions!$B$37-Assumptions!$B$38)-((Historicals!$D$6*(1+Assumptions!$B$26))-Historicals!$D$6)*Assumptions!$B$39)/(1+$A11)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11)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11)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11)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11)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C$5)/($A11-C$5))/(1+$A11)^4.5))-Assumptions!$B$51)/Assumptions!$B$50</f>
        <v>269.27775742162765</v>
      </c>
      <c r="D11" s="15">
        <f>(((((Historicals!$D$6*(1+Assumptions!$B$26))*(Assumptions!$B$35*(1-Assumptions!$B$36)+Assumptions!$B$37-Assumptions!$B$38)-((Historicals!$D$6*(1+Assumptions!$B$26))-Historicals!$D$6)*Assumptions!$B$39)/(1+$A11)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11)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11)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11)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11)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D$5)/($A11-D$5))/(1+$A11)^4.5))-Assumptions!$B$51)/Assumptions!$B$50</f>
        <v>284.35669882676979</v>
      </c>
      <c r="E11" s="15">
        <f>(((((Historicals!$D$6*(1+Assumptions!$B$26))*(Assumptions!$B$35*(1-Assumptions!$B$36)+Assumptions!$B$37-Assumptions!$B$38)-((Historicals!$D$6*(1+Assumptions!$B$26))-Historicals!$D$6)*Assumptions!$B$39)/(1+$A11)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11)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11)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11)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11)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E$5)/($A11-E$5))/(1+$A11)^4.5))-Assumptions!$B$51)/Assumptions!$B$50</f>
        <v>301.7554773711646</v>
      </c>
      <c r="F11" s="15">
        <f>(((((Historicals!$D$6*(1+Assumptions!$B$26))*(Assumptions!$B$35*(1-Assumptions!$B$36)+Assumptions!$B$37-Assumptions!$B$38)-((Historicals!$D$6*(1+Assumptions!$B$26))-Historicals!$D$6)*Assumptions!$B$39)/(1+$A11)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11)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11)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11)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11)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F$5)/($A11-F$5))/(1+$A11)^4.5))-Assumptions!$B$51)/Assumptions!$B$50</f>
        <v>322.05405233962512</v>
      </c>
      <c r="G11" s="15">
        <f>(((((Historicals!$D$6*(1+Assumptions!$B$26))*(Assumptions!$B$35*(1-Assumptions!$B$36)+Assumptions!$B$37-Assumptions!$B$38)-((Historicals!$D$6*(1+Assumptions!$B$26))-Historicals!$D$6)*Assumptions!$B$39)/(1+$A11)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11)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11)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11)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11)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G$5)/($A11-G$5))/(1+$A11)^4.5))-Assumptions!$B$51)/Assumptions!$B$50</f>
        <v>346.04327730235127</v>
      </c>
      <c r="H11" s="15">
        <f>(((((Historicals!$D$6*(1+Assumptions!$B$26))*(Assumptions!$B$35*(1-Assumptions!$B$36)+Assumptions!$B$37-Assumptions!$B$38)-((Historicals!$D$6*(1+Assumptions!$B$26))-Historicals!$D$6)*Assumptions!$B$39)/(1+$A11)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11)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11)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11)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11)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H$5)/($A11-H$5))/(1+$A11)^4.5))-Assumptions!$B$51)/Assumptions!$B$50</f>
        <v>374.83034725762252</v>
      </c>
      <c r="I11" s="15"/>
    </row>
    <row r="12" spans="1:9" x14ac:dyDescent="0.2">
      <c r="A12" s="23">
        <v>0.1</v>
      </c>
      <c r="B12" s="15">
        <f>(((((Historicals!$D$6*(1+Assumptions!$B$26))*(Assumptions!$B$35*(1-Assumptions!$B$36)+Assumptions!$B$37-Assumptions!$B$38)-((Historicals!$D$6*(1+Assumptions!$B$26))-Historicals!$D$6)*Assumptions!$B$39)/(1+$A12)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12)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12)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12)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12)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B$5)/($A12-B$5))/(1+$A12)^4.5))-Assumptions!$B$51)/Assumptions!$B$50</f>
        <v>240.99034909587184</v>
      </c>
      <c r="C12" s="15">
        <f>(((((Historicals!$D$6*(1+Assumptions!$B$26))*(Assumptions!$B$35*(1-Assumptions!$B$36)+Assumptions!$B$37-Assumptions!$B$38)-((Historicals!$D$6*(1+Assumptions!$B$26))-Historicals!$D$6)*Assumptions!$B$39)/(1+$A12)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12)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12)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12)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12)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C$5)/($A12-C$5))/(1+$A12)^4.5))-Assumptions!$B$51)/Assumptions!$B$50</f>
        <v>252.44801787368158</v>
      </c>
      <c r="D12" s="15">
        <f>(((((Historicals!$D$6*(1+Assumptions!$B$26))*(Assumptions!$B$35*(1-Assumptions!$B$36)+Assumptions!$B$37-Assumptions!$B$38)-((Historicals!$D$6*(1+Assumptions!$B$26))-Historicals!$D$6)*Assumptions!$B$39)/(1+$A12)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12)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12)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12)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12)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D$5)/($A12-D$5))/(1+$A12)^4.5))-Assumptions!$B$51)/Assumptions!$B$50</f>
        <v>265.43337582186581</v>
      </c>
      <c r="E12" s="15">
        <f>(((((Historicals!$D$6*(1+Assumptions!$B$26))*(Assumptions!$B$35*(1-Assumptions!$B$36)+Assumptions!$B$37-Assumptions!$B$38)-((Historicals!$D$6*(1+Assumptions!$B$26))-Historicals!$D$6)*Assumptions!$B$39)/(1+$A12)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12)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12)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12)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12)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E$5)/($A12-E$5))/(1+$A12)^4.5))-Assumptions!$B$51)/Assumptions!$B$50</f>
        <v>280.27378490550512</v>
      </c>
      <c r="F12" s="15">
        <f>(((((Historicals!$D$6*(1+Assumptions!$B$26))*(Assumptions!$B$35*(1-Assumptions!$B$36)+Assumptions!$B$37-Assumptions!$B$38)-((Historicals!$D$6*(1+Assumptions!$B$26))-Historicals!$D$6)*Assumptions!$B$39)/(1+$A12)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12)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12)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12)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12)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F$5)/($A12-F$5))/(1+$A12)^4.5))-Assumptions!$B$51)/Assumptions!$B$50</f>
        <v>297.39733384816583</v>
      </c>
      <c r="G12" s="15">
        <f>(((((Historicals!$D$6*(1+Assumptions!$B$26))*(Assumptions!$B$35*(1-Assumptions!$B$36)+Assumptions!$B$37-Assumptions!$B$38)-((Historicals!$D$6*(1+Assumptions!$B$26))-Historicals!$D$6)*Assumptions!$B$39)/(1+$A12)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12)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12)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12)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12)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G$5)/($A12-G$5))/(1+$A12)^4.5))-Assumptions!$B$51)/Assumptions!$B$50</f>
        <v>317.37480761460318</v>
      </c>
      <c r="H12" s="15">
        <f>(((((Historicals!$D$6*(1+Assumptions!$B$26))*(Assumptions!$B$35*(1-Assumptions!$B$36)+Assumptions!$B$37-Assumptions!$B$38)-((Historicals!$D$6*(1+Assumptions!$B$26))-Historicals!$D$6)*Assumptions!$B$39)/(1+$A12)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12)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12)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12)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12)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H$5)/($A12-H$5))/(1+$A12)^4.5))-Assumptions!$B$51)/Assumptions!$B$50</f>
        <v>340.98454933857465</v>
      </c>
      <c r="I12" s="15"/>
    </row>
    <row r="13" spans="1:9" x14ac:dyDescent="0.2">
      <c r="A13" s="23">
        <v>0.105</v>
      </c>
      <c r="B13" s="15">
        <f>(((((Historicals!$D$6*(1+Assumptions!$B$26))*(Assumptions!$B$35*(1-Assumptions!$B$36)+Assumptions!$B$37-Assumptions!$B$38)-((Historicals!$D$6*(1+Assumptions!$B$26))-Historicals!$D$6)*Assumptions!$B$39)/(1+$A13)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13)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13)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13)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13)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B$5)/($A13-B$5))/(1+$A13)^4.5))-Assumptions!$B$51)/Assumptions!$B$50</f>
        <v>227.58259213462347</v>
      </c>
      <c r="C13" s="15">
        <f>(((((Historicals!$D$6*(1+Assumptions!$B$26))*(Assumptions!$B$35*(1-Assumptions!$B$36)+Assumptions!$B$37-Assumptions!$B$38)-((Historicals!$D$6*(1+Assumptions!$B$26))-Historicals!$D$6)*Assumptions!$B$39)/(1+$A13)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13)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13)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13)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13)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C$5)/($A13-C$5))/(1+$A13)^4.5))-Assumptions!$B$51)/Assumptions!$B$50</f>
        <v>237.6068023574966</v>
      </c>
      <c r="D13" s="15">
        <f>(((((Historicals!$D$6*(1+Assumptions!$B$26))*(Assumptions!$B$35*(1-Assumptions!$B$36)+Assumptions!$B$37-Assumptions!$B$38)-((Historicals!$D$6*(1+Assumptions!$B$26))-Historicals!$D$6)*Assumptions!$B$39)/(1+$A13)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13)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13)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13)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13)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D$5)/($A13-D$5))/(1+$A13)^4.5))-Assumptions!$B$51)/Assumptions!$B$50</f>
        <v>248.88403885822879</v>
      </c>
      <c r="E13" s="15">
        <f>(((((Historicals!$D$6*(1+Assumptions!$B$26))*(Assumptions!$B$35*(1-Assumptions!$B$36)+Assumptions!$B$37-Assumptions!$B$38)-((Historicals!$D$6*(1+Assumptions!$B$26))-Historicals!$D$6)*Assumptions!$B$39)/(1+$A13)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13)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13)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13)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13)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E$5)/($A13-E$5))/(1+$A13)^4.5))-Assumptions!$B$51)/Assumptions!$B$50</f>
        <v>261.66490689239203</v>
      </c>
      <c r="F13" s="15">
        <f>(((((Historicals!$D$6*(1+Assumptions!$B$26))*(Assumptions!$B$35*(1-Assumptions!$B$36)+Assumptions!$B$37-Assumptions!$B$38)-((Historicals!$D$6*(1+Assumptions!$B$26))-Historicals!$D$6)*Assumptions!$B$39)/(1+$A13)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13)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13)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13)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13)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F$5)/($A13-F$5))/(1+$A13)^4.5))-Assumptions!$B$51)/Assumptions!$B$50</f>
        <v>276.27161321714999</v>
      </c>
      <c r="G13" s="15">
        <f>(((((Historicals!$D$6*(1+Assumptions!$B$26))*(Assumptions!$B$35*(1-Assumptions!$B$36)+Assumptions!$B$37-Assumptions!$B$38)-((Historicals!$D$6*(1+Assumptions!$B$26))-Historicals!$D$6)*Assumptions!$B$39)/(1+$A13)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13)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13)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13)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13)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G$5)/($A13-G$5))/(1+$A13)^4.5))-Assumptions!$B$51)/Assumptions!$B$50</f>
        <v>293.12550513033221</v>
      </c>
      <c r="H13" s="15">
        <f>(((((Historicals!$D$6*(1+Assumptions!$B$26))*(Assumptions!$B$35*(1-Assumptions!$B$36)+Assumptions!$B$37-Assumptions!$B$38)-((Historicals!$D$6*(1+Assumptions!$B$26))-Historicals!$D$6)*Assumptions!$B$39)/(1+$A13)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13)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13)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13)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13)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H$5)/($A13-H$5))/(1+$A13)^4.5))-Assumptions!$B$51)/Assumptions!$B$50</f>
        <v>312.78837902904479</v>
      </c>
      <c r="I13" s="15"/>
    </row>
    <row r="14" spans="1:9" x14ac:dyDescent="0.2">
      <c r="A14" s="23">
        <v>0.11</v>
      </c>
      <c r="B14" s="15">
        <f>(((((Historicals!$D$6*(1+Assumptions!$B$26))*(Assumptions!$B$35*(1-Assumptions!$B$36)+Assumptions!$B$37-Assumptions!$B$38)-((Historicals!$D$6*(1+Assumptions!$B$26))-Historicals!$D$6)*Assumptions!$B$39)/(1+$A14)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14)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14)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14)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14)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B$5)/($A14-B$5))/(1+$A14)^4.5))-Assumptions!$B$51)/Assumptions!$B$50</f>
        <v>215.59408280380066</v>
      </c>
      <c r="C14" s="15">
        <f>(((((Historicals!$D$6*(1+Assumptions!$B$26))*(Assumptions!$B$35*(1-Assumptions!$B$36)+Assumptions!$B$37-Assumptions!$B$38)-((Historicals!$D$6*(1+Assumptions!$B$26))-Historicals!$D$6)*Assumptions!$B$39)/(1+$A14)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14)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14)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14)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14)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C$5)/($A14-C$5))/(1+$A14)^4.5))-Assumptions!$B$51)/Assumptions!$B$50</f>
        <v>224.42250377333548</v>
      </c>
      <c r="D14" s="15">
        <f>(((((Historicals!$D$6*(1+Assumptions!$B$26))*(Assumptions!$B$35*(1-Assumptions!$B$36)+Assumptions!$B$37-Assumptions!$B$38)-((Historicals!$D$6*(1+Assumptions!$B$26))-Historicals!$D$6)*Assumptions!$B$39)/(1+$A14)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14)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14)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14)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14)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D$5)/($A14-D$5))/(1+$A14)^4.5))-Assumptions!$B$51)/Assumptions!$B$50</f>
        <v>234.28956250399202</v>
      </c>
      <c r="E14" s="15">
        <f>(((((Historicals!$D$6*(1+Assumptions!$B$26))*(Assumptions!$B$35*(1-Assumptions!$B$36)+Assumptions!$B$37-Assumptions!$B$38)-((Historicals!$D$6*(1+Assumptions!$B$26))-Historicals!$D$6)*Assumptions!$B$39)/(1+$A14)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14)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14)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14)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14)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E$5)/($A14-E$5))/(1+$A14)^4.5))-Assumptions!$B$51)/Assumptions!$B$50</f>
        <v>245.39000357598064</v>
      </c>
      <c r="F14" s="15">
        <f>(((((Historicals!$D$6*(1+Assumptions!$B$26))*(Assumptions!$B$35*(1-Assumptions!$B$36)+Assumptions!$B$37-Assumptions!$B$38)-((Historicals!$D$6*(1+Assumptions!$B$26))-Historicals!$D$6)*Assumptions!$B$39)/(1+$A14)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14)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14)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14)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14)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F$5)/($A14-F$5))/(1+$A14)^4.5))-Assumptions!$B$51)/Assumptions!$B$50</f>
        <v>257.97050345756776</v>
      </c>
      <c r="G14" s="15">
        <f>(((((Historicals!$D$6*(1+Assumptions!$B$26))*(Assumptions!$B$35*(1-Assumptions!$B$36)+Assumptions!$B$37-Assumptions!$B$38)-((Historicals!$D$6*(1+Assumptions!$B$26))-Historicals!$D$6)*Assumptions!$B$39)/(1+$A14)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14)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14)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14)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14)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G$5)/($A14-G$5))/(1+$A14)^4.5))-Assumptions!$B$51)/Assumptions!$B$50</f>
        <v>272.34821760795296</v>
      </c>
      <c r="H14" s="15">
        <f>(((((Historicals!$D$6*(1+Assumptions!$B$26))*(Assumptions!$B$35*(1-Assumptions!$B$36)+Assumptions!$B$37-Assumptions!$B$38)-((Historicals!$D$6*(1+Assumptions!$B$26))-Historicals!$D$6)*Assumptions!$B$39)/(1+$A14)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14)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14)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14)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14)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H$5)/($A14-H$5))/(1+$A14)^4.5))-Assumptions!$B$51)/Assumptions!$B$50</f>
        <v>288.93788778147444</v>
      </c>
      <c r="I14" s="15"/>
    </row>
    <row r="15" spans="1:9" x14ac:dyDescent="0.2">
      <c r="A15" s="15"/>
      <c r="B15" s="15"/>
      <c r="C15" s="15"/>
      <c r="D15" s="15"/>
      <c r="E15" s="15"/>
      <c r="F15" s="15"/>
      <c r="G15" s="15"/>
      <c r="H15" s="15"/>
      <c r="I15" s="15"/>
    </row>
    <row r="16" spans="1:9" x14ac:dyDescent="0.2">
      <c r="A16" s="15"/>
      <c r="B16" s="15"/>
      <c r="C16" s="15"/>
      <c r="D16" s="15"/>
      <c r="E16" s="15"/>
      <c r="F16" s="15"/>
      <c r="G16" s="15"/>
      <c r="H16" s="15"/>
      <c r="I16" s="15"/>
    </row>
    <row r="17" spans="1:9" x14ac:dyDescent="0.2">
      <c r="A17" s="15"/>
      <c r="B17" s="15"/>
      <c r="C17" s="15"/>
      <c r="D17" s="15"/>
      <c r="E17" s="15"/>
      <c r="F17" s="15"/>
      <c r="G17" s="15"/>
      <c r="H17" s="15"/>
      <c r="I17" s="15"/>
    </row>
    <row r="18" spans="1:9" x14ac:dyDescent="0.2">
      <c r="A18" s="32" t="s">
        <v>120</v>
      </c>
      <c r="B18" s="33"/>
      <c r="C18" s="33"/>
      <c r="D18" s="33"/>
      <c r="E18" s="33"/>
      <c r="F18" s="33"/>
      <c r="G18" s="33"/>
      <c r="H18" s="33"/>
      <c r="I18" s="33"/>
    </row>
    <row r="19" spans="1:9" x14ac:dyDescent="0.2">
      <c r="A19" s="49" t="s">
        <v>119</v>
      </c>
      <c r="B19" s="46">
        <v>1.4999999999999999E-2</v>
      </c>
      <c r="C19" s="46">
        <v>0.02</v>
      </c>
      <c r="D19" s="46">
        <v>2.5000000000000001E-2</v>
      </c>
      <c r="E19" s="46">
        <v>0.03</v>
      </c>
      <c r="F19" s="46">
        <v>3.5000000000000003E-2</v>
      </c>
      <c r="G19" s="46">
        <v>0.04</v>
      </c>
      <c r="H19" s="46">
        <v>4.4999999999999998E-2</v>
      </c>
      <c r="I19" s="15"/>
    </row>
    <row r="20" spans="1:9" x14ac:dyDescent="0.2">
      <c r="A20" s="23">
        <v>7.0000000000000007E-2</v>
      </c>
      <c r="B20" s="15">
        <f>((((Historicals!$D$6*(1+Assumptions!$B$26))*(Assumptions!$B$35*(1-Assumptions!$B$36)+Assumptions!$B$37-Assumptions!$B$38)-((Historicals!$D$6*(1+Assumptions!$B$26))-Historicals!$D$6)*Assumptions!$B$39)/(1+$A20)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20)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20)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20)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20)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B$19)/($A20-B$19))/(1+$A20)^4.5))/((Historicals!$D$6*(1+Assumptions!$B$26))*(Assumptions!$B$35+Assumptions!$B$37))</f>
        <v>19.872479070243415</v>
      </c>
      <c r="C20" s="15">
        <f>((((Historicals!$D$6*(1+Assumptions!$B$26))*(Assumptions!$B$35*(1-Assumptions!$B$36)+Assumptions!$B$37-Assumptions!$B$38)-((Historicals!$D$6*(1+Assumptions!$B$26))-Historicals!$D$6)*Assumptions!$B$39)/(1+$A20)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20)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20)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20)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20)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C$19)/($A20-C$19))/(1+$A20)^4.5))/((Historicals!$D$6*(1+Assumptions!$B$26))*(Assumptions!$B$35+Assumptions!$B$37))</f>
        <v>21.551345945215051</v>
      </c>
      <c r="D20" s="15">
        <f>((((Historicals!$D$6*(1+Assumptions!$B$26))*(Assumptions!$B$35*(1-Assumptions!$B$36)+Assumptions!$B$37-Assumptions!$B$38)-((Historicals!$D$6*(1+Assumptions!$B$26))-Historicals!$D$6)*Assumptions!$B$39)/(1+$A20)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20)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20)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20)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20)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D$19)/($A20-D$19))/(1+$A20)^4.5))/((Historicals!$D$6*(1+Assumptions!$B$26))*(Assumptions!$B$35+Assumptions!$B$37))</f>
        <v>23.603294347958151</v>
      </c>
      <c r="E20" s="15">
        <f>((((Historicals!$D$6*(1+Assumptions!$B$26))*(Assumptions!$B$35*(1-Assumptions!$B$36)+Assumptions!$B$37-Assumptions!$B$38)-((Historicals!$D$6*(1+Assumptions!$B$26))-Historicals!$D$6)*Assumptions!$B$39)/(1+$A20)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20)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20)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20)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20)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E$19)/($A20-E$19))/(1+$A20)^4.5))/((Historicals!$D$6*(1+Assumptions!$B$26))*(Assumptions!$B$35+Assumptions!$B$37))</f>
        <v>26.168229851387036</v>
      </c>
      <c r="F20" s="15">
        <f>((((Historicals!$D$6*(1+Assumptions!$B$26))*(Assumptions!$B$35*(1-Assumptions!$B$36)+Assumptions!$B$37-Assumptions!$B$38)-((Historicals!$D$6*(1+Assumptions!$B$26))-Historicals!$D$6)*Assumptions!$B$39)/(1+$A20)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20)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20)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20)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20)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F$19)/($A20-F$19))/(1+$A20)^4.5))/((Historicals!$D$6*(1+Assumptions!$B$26))*(Assumptions!$B$35+Assumptions!$B$37))</f>
        <v>29.466004070081315</v>
      </c>
      <c r="G20" s="15">
        <f>((((Historicals!$D$6*(1+Assumptions!$B$26))*(Assumptions!$B$35*(1-Assumptions!$B$36)+Assumptions!$B$37-Assumptions!$B$38)-((Historicals!$D$6*(1+Assumptions!$B$26))-Historicals!$D$6)*Assumptions!$B$39)/(1+$A20)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20)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20)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20)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20)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G$19)/($A20-G$19))/(1+$A20)^4.5))/((Historicals!$D$6*(1+Assumptions!$B$26))*(Assumptions!$B$35+Assumptions!$B$37))</f>
        <v>33.863036361673679</v>
      </c>
      <c r="H20" s="15">
        <f>((((Historicals!$D$6*(1+Assumptions!$B$26))*(Assumptions!$B$35*(1-Assumptions!$B$36)+Assumptions!$B$37-Assumptions!$B$38)-((Historicals!$D$6*(1+Assumptions!$B$26))-Historicals!$D$6)*Assumptions!$B$39)/(1+$A20)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20)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20)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20)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20)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H$19)/($A20-H$19))/(1+$A20)^4.5))/((Historicals!$D$6*(1+Assumptions!$B$26))*(Assumptions!$B$35+Assumptions!$B$37))</f>
        <v>40.018881569903002</v>
      </c>
      <c r="I20" s="15"/>
    </row>
    <row r="21" spans="1:9" x14ac:dyDescent="0.2">
      <c r="A21" s="23">
        <v>7.4999999999999997E-2</v>
      </c>
      <c r="B21" s="15">
        <f>((((Historicals!$D$6*(1+Assumptions!$B$26))*(Assumptions!$B$35*(1-Assumptions!$B$36)+Assumptions!$B$37-Assumptions!$B$38)-((Historicals!$D$6*(1+Assumptions!$B$26))-Historicals!$D$6)*Assumptions!$B$39)/(1+$A21)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21)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21)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21)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21)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B$19)/($A21-B$19))/(1+$A21)^4.5))/((Historicals!$D$6*(1+Assumptions!$B$26))*(Assumptions!$B$35+Assumptions!$B$37))</f>
        <v>18.194798881154803</v>
      </c>
      <c r="C21" s="15">
        <f>((((Historicals!$D$6*(1+Assumptions!$B$26))*(Assumptions!$B$35*(1-Assumptions!$B$36)+Assumptions!$B$37-Assumptions!$B$38)-((Historicals!$D$6*(1+Assumptions!$B$26))-Historicals!$D$6)*Assumptions!$B$39)/(1+$A21)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21)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21)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21)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21)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C$19)/($A21-C$19))/(1+$A21)^4.5))/((Historicals!$D$6*(1+Assumptions!$B$26))*(Assumptions!$B$35+Assumptions!$B$37))</f>
        <v>19.571211391397583</v>
      </c>
      <c r="D21" s="15">
        <f>((((Historicals!$D$6*(1+Assumptions!$B$26))*(Assumptions!$B$35*(1-Assumptions!$B$36)+Assumptions!$B$37-Assumptions!$B$38)-((Historicals!$D$6*(1+Assumptions!$B$26))-Historicals!$D$6)*Assumptions!$B$39)/(1+$A21)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21)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21)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21)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21)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D$19)/($A21-D$19))/(1+$A21)^4.5))/((Historicals!$D$6*(1+Assumptions!$B$26))*(Assumptions!$B$35+Assumptions!$B$37))</f>
        <v>21.22290640368891</v>
      </c>
      <c r="E21" s="15">
        <f>((((Historicals!$D$6*(1+Assumptions!$B$26))*(Assumptions!$B$35*(1-Assumptions!$B$36)+Assumptions!$B$37-Assumptions!$B$38)-((Historicals!$D$6*(1+Assumptions!$B$26))-Historicals!$D$6)*Assumptions!$B$39)/(1+$A21)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21)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21)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21)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21)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E$19)/($A21-E$19))/(1+$A21)^4.5))/((Historicals!$D$6*(1+Assumptions!$B$26))*(Assumptions!$B$35+Assumptions!$B$37))</f>
        <v>23.241644752044994</v>
      </c>
      <c r="F21" s="15">
        <f>((((Historicals!$D$6*(1+Assumptions!$B$26))*(Assumptions!$B$35*(1-Assumptions!$B$36)+Assumptions!$B$37-Assumptions!$B$38)-((Historicals!$D$6*(1+Assumptions!$B$26))-Historicals!$D$6)*Assumptions!$B$39)/(1+$A21)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21)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21)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21)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21)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F$19)/($A21-F$19))/(1+$A21)^4.5))/((Historicals!$D$6*(1+Assumptions!$B$26))*(Assumptions!$B$35+Assumptions!$B$37))</f>
        <v>25.765067687490088</v>
      </c>
      <c r="G21" s="15">
        <f>((((Historicals!$D$6*(1+Assumptions!$B$26))*(Assumptions!$B$35*(1-Assumptions!$B$36)+Assumptions!$B$37-Assumptions!$B$38)-((Historicals!$D$6*(1+Assumptions!$B$26))-Historicals!$D$6)*Assumptions!$B$39)/(1+$A21)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21)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21)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21)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21)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G$19)/($A21-G$19))/(1+$A21)^4.5))/((Historicals!$D$6*(1+Assumptions!$B$26))*(Assumptions!$B$35+Assumptions!$B$37))</f>
        <v>29.009468604490923</v>
      </c>
      <c r="H21" s="15">
        <f>((((Historicals!$D$6*(1+Assumptions!$B$26))*(Assumptions!$B$35*(1-Assumptions!$B$36)+Assumptions!$B$37-Assumptions!$B$38)-((Historicals!$D$6*(1+Assumptions!$B$26))-Historicals!$D$6)*Assumptions!$B$39)/(1+$A21)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21)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21)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21)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21)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H$19)/($A21-H$19))/(1+$A21)^4.5))/((Historicals!$D$6*(1+Assumptions!$B$26))*(Assumptions!$B$35+Assumptions!$B$37))</f>
        <v>33.335336493825373</v>
      </c>
      <c r="I21" s="15"/>
    </row>
    <row r="22" spans="1:9" x14ac:dyDescent="0.2">
      <c r="A22" s="23">
        <v>0.08</v>
      </c>
      <c r="B22" s="15">
        <f>((((Historicals!$D$6*(1+Assumptions!$B$26))*(Assumptions!$B$35*(1-Assumptions!$B$36)+Assumptions!$B$37-Assumptions!$B$38)-((Historicals!$D$6*(1+Assumptions!$B$26))-Historicals!$D$6)*Assumptions!$B$39)/(1+$A22)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22)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22)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22)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22)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B$19)/($A22-B$19))/(1+$A22)^4.5))/((Historicals!$D$6*(1+Assumptions!$B$26))*(Assumptions!$B$35+Assumptions!$B$37))</f>
        <v>16.775939013255915</v>
      </c>
      <c r="C22" s="15">
        <f>((((Historicals!$D$6*(1+Assumptions!$B$26))*(Assumptions!$B$35*(1-Assumptions!$B$36)+Assumptions!$B$37-Assumptions!$B$38)-((Historicals!$D$6*(1+Assumptions!$B$26))-Historicals!$D$6)*Assumptions!$B$39)/(1+$A22)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22)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22)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22)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22)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C$19)/($A22-C$19))/(1+$A22)^4.5))/((Historicals!$D$6*(1+Assumptions!$B$26))*(Assumptions!$B$35+Assumptions!$B$37))</f>
        <v>17.92183295884362</v>
      </c>
      <c r="D22" s="15">
        <f>((((Historicals!$D$6*(1+Assumptions!$B$26))*(Assumptions!$B$35*(1-Assumptions!$B$36)+Assumptions!$B$37-Assumptions!$B$38)-((Historicals!$D$6*(1+Assumptions!$B$26))-Historicals!$D$6)*Assumptions!$B$39)/(1+$A22)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22)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22)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22)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22)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D$19)/($A22-D$19))/(1+$A22)^4.5))/((Historicals!$D$6*(1+Assumptions!$B$26))*(Assumptions!$B$35+Assumptions!$B$37))</f>
        <v>19.276071258174539</v>
      </c>
      <c r="E22" s="15">
        <f>((((Historicals!$D$6*(1+Assumptions!$B$26))*(Assumptions!$B$35*(1-Assumptions!$B$36)+Assumptions!$B$37-Assumptions!$B$38)-((Historicals!$D$6*(1+Assumptions!$B$26))-Historicals!$D$6)*Assumptions!$B$39)/(1+$A22)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22)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22)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22)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22)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E$19)/($A22-E$19))/(1+$A22)^4.5))/((Historicals!$D$6*(1+Assumptions!$B$26))*(Assumptions!$B$35+Assumptions!$B$37))</f>
        <v>20.901157217371651</v>
      </c>
      <c r="F22" s="15">
        <f>((((Historicals!$D$6*(1+Assumptions!$B$26))*(Assumptions!$B$35*(1-Assumptions!$B$36)+Assumptions!$B$37-Assumptions!$B$38)-((Historicals!$D$6*(1+Assumptions!$B$26))-Historicals!$D$6)*Assumptions!$B$39)/(1+$A22)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22)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22)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22)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22)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F$19)/($A22-F$19))/(1+$A22)^4.5))/((Historicals!$D$6*(1+Assumptions!$B$26))*(Assumptions!$B$35+Assumptions!$B$37))</f>
        <v>22.887373389723667</v>
      </c>
      <c r="G22" s="15">
        <f>((((Historicals!$D$6*(1+Assumptions!$B$26))*(Assumptions!$B$35*(1-Assumptions!$B$36)+Assumptions!$B$37-Assumptions!$B$38)-((Historicals!$D$6*(1+Assumptions!$B$26))-Historicals!$D$6)*Assumptions!$B$39)/(1+$A22)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22)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22)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22)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22)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G$19)/($A22-G$19))/(1+$A22)^4.5))/((Historicals!$D$6*(1+Assumptions!$B$26))*(Assumptions!$B$35+Assumptions!$B$37))</f>
        <v>25.370143605163694</v>
      </c>
      <c r="H22" s="15">
        <f>((((Historicals!$D$6*(1+Assumptions!$B$26))*(Assumptions!$B$35*(1-Assumptions!$B$36)+Assumptions!$B$37-Assumptions!$B$38)-((Historicals!$D$6*(1+Assumptions!$B$26))-Historicals!$D$6)*Assumptions!$B$39)/(1+$A22)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22)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22)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22)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22)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H$19)/($A22-H$19))/(1+$A22)^4.5))/((Historicals!$D$6*(1+Assumptions!$B$26))*(Assumptions!$B$35+Assumptions!$B$37))</f>
        <v>28.562276739300867</v>
      </c>
      <c r="I22" s="15"/>
    </row>
    <row r="23" spans="1:9" x14ac:dyDescent="0.2">
      <c r="A23" s="23">
        <v>8.5000000000000006E-2</v>
      </c>
      <c r="B23" s="15">
        <f>((((Historicals!$D$6*(1+Assumptions!$B$26))*(Assumptions!$B$35*(1-Assumptions!$B$36)+Assumptions!$B$37-Assumptions!$B$38)-((Historicals!$D$6*(1+Assumptions!$B$26))-Historicals!$D$6)*Assumptions!$B$39)/(1+$A23)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23)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23)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23)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23)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B$19)/($A23-B$19))/(1+$A23)^4.5))/((Historicals!$D$6*(1+Assumptions!$B$26))*(Assumptions!$B$35+Assumptions!$B$37))</f>
        <v>15.560422353700046</v>
      </c>
      <c r="C23" s="15">
        <f>((((Historicals!$D$6*(1+Assumptions!$B$26))*(Assumptions!$B$35*(1-Assumptions!$B$36)+Assumptions!$B$37-Assumptions!$B$38)-((Historicals!$D$6*(1+Assumptions!$B$26))-Historicals!$D$6)*Assumptions!$B$39)/(1+$A23)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23)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23)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23)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23)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C$19)/($A23-C$19))/(1+$A23)^4.5))/((Historicals!$D$6*(1+Assumptions!$B$26))*(Assumptions!$B$35+Assumptions!$B$37))</f>
        <v>16.526866357184471</v>
      </c>
      <c r="D23" s="15">
        <f>((((Historicals!$D$6*(1+Assumptions!$B$26))*(Assumptions!$B$35*(1-Assumptions!$B$36)+Assumptions!$B$37-Assumptions!$B$38)-((Historicals!$D$6*(1+Assumptions!$B$26))-Historicals!$D$6)*Assumptions!$B$39)/(1+$A23)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23)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23)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23)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23)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D$19)/($A23-D$19))/(1+$A23)^4.5))/((Historicals!$D$6*(1+Assumptions!$B$26))*(Assumptions!$B$35+Assumptions!$B$37))</f>
        <v>17.654384361249626</v>
      </c>
      <c r="E23" s="15">
        <f>((((Historicals!$D$6*(1+Assumptions!$B$26))*(Assumptions!$B$35*(1-Assumptions!$B$36)+Assumptions!$B$37-Assumptions!$B$38)-((Historicals!$D$6*(1+Assumptions!$B$26))-Historicals!$D$6)*Assumptions!$B$39)/(1+$A23)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23)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23)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23)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23)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E$19)/($A23-E$19))/(1+$A23)^4.5))/((Historicals!$D$6*(1+Assumptions!$B$26))*(Assumptions!$B$35+Assumptions!$B$37))</f>
        <v>18.986905638781185</v>
      </c>
      <c r="F23" s="15">
        <f>((((Historicals!$D$6*(1+Assumptions!$B$26))*(Assumptions!$B$35*(1-Assumptions!$B$36)+Assumptions!$B$37-Assumptions!$B$38)-((Historicals!$D$6*(1+Assumptions!$B$26))-Historicals!$D$6)*Assumptions!$B$39)/(1+$A23)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23)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23)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23)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23)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F$19)/($A23-F$19))/(1+$A23)^4.5))/((Historicals!$D$6*(1+Assumptions!$B$26))*(Assumptions!$B$35+Assumptions!$B$37))</f>
        <v>20.585931171819045</v>
      </c>
      <c r="G23" s="15">
        <f>((((Historicals!$D$6*(1+Assumptions!$B$26))*(Assumptions!$B$35*(1-Assumptions!$B$36)+Assumptions!$B$37-Assumptions!$B$38)-((Historicals!$D$6*(1+Assumptions!$B$26))-Historicals!$D$6)*Assumptions!$B$39)/(1+$A23)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23)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23)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23)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23)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G$19)/($A23-G$19))/(1+$A23)^4.5))/((Historicals!$D$6*(1+Assumptions!$B$26))*(Assumptions!$B$35+Assumptions!$B$37))</f>
        <v>22.540295712198656</v>
      </c>
      <c r="H23" s="15">
        <f>((((Historicals!$D$6*(1+Assumptions!$B$26))*(Assumptions!$B$35*(1-Assumptions!$B$36)+Assumptions!$B$37-Assumptions!$B$38)-((Historicals!$D$6*(1+Assumptions!$B$26))-Historicals!$D$6)*Assumptions!$B$39)/(1+$A23)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23)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23)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23)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23)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H$19)/($A23-H$19))/(1+$A23)^4.5))/((Historicals!$D$6*(1+Assumptions!$B$26))*(Assumptions!$B$35+Assumptions!$B$37))</f>
        <v>24.98325138767316</v>
      </c>
      <c r="I23" s="15"/>
    </row>
    <row r="24" spans="1:9" x14ac:dyDescent="0.2">
      <c r="A24" s="23">
        <v>0.09</v>
      </c>
      <c r="B24" s="15">
        <f>((((Historicals!$D$6*(1+Assumptions!$B$26))*(Assumptions!$B$35*(1-Assumptions!$B$36)+Assumptions!$B$37-Assumptions!$B$38)-((Historicals!$D$6*(1+Assumptions!$B$26))-Historicals!$D$6)*Assumptions!$B$39)/(1+$A24)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24)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24)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24)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24)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B$19)/($A24-B$19))/(1+$A24)^4.5))/((Historicals!$D$6*(1+Assumptions!$B$26))*(Assumptions!$B$35+Assumptions!$B$37))</f>
        <v>14.507566089397628</v>
      </c>
      <c r="C24" s="15">
        <f>((((Historicals!$D$6*(1+Assumptions!$B$26))*(Assumptions!$B$35*(1-Assumptions!$B$36)+Assumptions!$B$37-Assumptions!$B$38)-((Historicals!$D$6*(1+Assumptions!$B$26))-Historicals!$D$6)*Assumptions!$B$39)/(1+$A24)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24)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24)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24)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24)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C$19)/($A24-C$19))/(1+$A24)^4.5))/((Historicals!$D$6*(1+Assumptions!$B$26))*(Assumptions!$B$35+Assumptions!$B$37))</f>
        <v>15.33178036024354</v>
      </c>
      <c r="D24" s="15">
        <f>((((Historicals!$D$6*(1+Assumptions!$B$26))*(Assumptions!$B$35*(1-Assumptions!$B$36)+Assumptions!$B$37-Assumptions!$B$38)-((Historicals!$D$6*(1+Assumptions!$B$26))-Historicals!$D$6)*Assumptions!$B$39)/(1+$A24)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24)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24)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24)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24)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D$19)/($A24-D$19))/(1+$A24)^4.5))/((Historicals!$D$6*(1+Assumptions!$B$26))*(Assumptions!$B$35+Assumptions!$B$37))</f>
        <v>16.282796826604201</v>
      </c>
      <c r="E24" s="39">
        <f>((((Historicals!$D$6*(1+Assumptions!$B$26))*(Assumptions!$B$35*(1-Assumptions!$B$36)+Assumptions!$B$37-Assumptions!$B$38)-((Historicals!$D$6*(1+Assumptions!$B$26))-Historicals!$D$6)*Assumptions!$B$39)/(1+$A24)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24)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24)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24)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24)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E$19)/($A24-E$19))/(1+$A24)^4.5))/((Historicals!$D$6*(1+Assumptions!$B$26))*(Assumptions!$B$35+Assumptions!$B$37))</f>
        <v>17.392316037358313</v>
      </c>
      <c r="F24" s="15">
        <f>((((Historicals!$D$6*(1+Assumptions!$B$26))*(Assumptions!$B$35*(1-Assumptions!$B$36)+Assumptions!$B$37-Assumptions!$B$38)-((Historicals!$D$6*(1+Assumptions!$B$26))-Historicals!$D$6)*Assumptions!$B$39)/(1+$A24)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24)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24)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24)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24)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F$19)/($A24-F$19))/(1+$A24)^4.5))/((Historicals!$D$6*(1+Assumptions!$B$26))*(Assumptions!$B$35+Assumptions!$B$37))</f>
        <v>18.703566013704076</v>
      </c>
      <c r="G24" s="15">
        <f>((((Historicals!$D$6*(1+Assumptions!$B$26))*(Assumptions!$B$35*(1-Assumptions!$B$36)+Assumptions!$B$37-Assumptions!$B$38)-((Historicals!$D$6*(1+Assumptions!$B$26))-Historicals!$D$6)*Assumptions!$B$39)/(1+$A24)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24)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24)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24)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24)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G$19)/($A24-G$19))/(1+$A24)^4.5))/((Historicals!$D$6*(1+Assumptions!$B$26))*(Assumptions!$B$35+Assumptions!$B$37))</f>
        <v>20.277065985318998</v>
      </c>
      <c r="H24" s="15">
        <f>((((Historicals!$D$6*(1+Assumptions!$B$26))*(Assumptions!$B$35*(1-Assumptions!$B$36)+Assumptions!$B$37-Assumptions!$B$38)-((Historicals!$D$6*(1+Assumptions!$B$26))-Historicals!$D$6)*Assumptions!$B$39)/(1+$A24)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24)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24)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24)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24)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H$19)/($A24-H$19))/(1+$A24)^4.5))/((Historicals!$D$6*(1+Assumptions!$B$26))*(Assumptions!$B$35+Assumptions!$B$37))</f>
        <v>22.20023261729278</v>
      </c>
      <c r="I24" s="15"/>
    </row>
    <row r="25" spans="1:9" x14ac:dyDescent="0.2">
      <c r="A25" s="23">
        <v>9.5000000000000001E-2</v>
      </c>
      <c r="B25" s="15">
        <f>((((Historicals!$D$6*(1+Assumptions!$B$26))*(Assumptions!$B$35*(1-Assumptions!$B$36)+Assumptions!$B$37-Assumptions!$B$38)-((Historicals!$D$6*(1+Assumptions!$B$26))-Historicals!$D$6)*Assumptions!$B$39)/(1+$A25)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25)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25)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25)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25)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B$19)/($A25-B$19))/(1+$A25)^4.5))/((Historicals!$D$6*(1+Assumptions!$B$26))*(Assumptions!$B$35+Assumptions!$B$37))</f>
        <v>13.586858476162845</v>
      </c>
      <c r="C25" s="15">
        <f>((((Historicals!$D$6*(1+Assumptions!$B$26))*(Assumptions!$B$35*(1-Assumptions!$B$36)+Assumptions!$B$37-Assumptions!$B$38)-((Historicals!$D$6*(1+Assumptions!$B$26))-Historicals!$D$6)*Assumptions!$B$39)/(1+$A25)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25)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25)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25)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25)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C$19)/($A25-C$19))/(1+$A25)^4.5))/((Historicals!$D$6*(1+Assumptions!$B$26))*(Assumptions!$B$35+Assumptions!$B$37))</f>
        <v>14.296585772309395</v>
      </c>
      <c r="D25" s="15">
        <f>((((Historicals!$D$6*(1+Assumptions!$B$26))*(Assumptions!$B$35*(1-Assumptions!$B$36)+Assumptions!$B$37-Assumptions!$B$38)-((Historicals!$D$6*(1+Assumptions!$B$26))-Historicals!$D$6)*Assumptions!$B$39)/(1+$A25)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25)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25)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25)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25)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D$19)/($A25-D$19))/(1+$A25)^4.5))/((Historicals!$D$6*(1+Assumptions!$B$26))*(Assumptions!$B$35+Assumptions!$B$37))</f>
        <v>15.107702682191164</v>
      </c>
      <c r="E25" s="15">
        <f>((((Historicals!$D$6*(1+Assumptions!$B$26))*(Assumptions!$B$35*(1-Assumptions!$B$36)+Assumptions!$B$37-Assumptions!$B$38)-((Historicals!$D$6*(1+Assumptions!$B$26))-Historicals!$D$6)*Assumptions!$B$39)/(1+$A25)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25)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25)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25)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25)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E$19)/($A25-E$19))/(1+$A25)^4.5))/((Historicals!$D$6*(1+Assumptions!$B$26))*(Assumptions!$B$35+Assumptions!$B$37))</f>
        <v>16.043606808977824</v>
      </c>
      <c r="F25" s="15">
        <f>((((Historicals!$D$6*(1+Assumptions!$B$26))*(Assumptions!$B$35*(1-Assumptions!$B$36)+Assumptions!$B$37-Assumptions!$B$38)-((Historicals!$D$6*(1+Assumptions!$B$26))-Historicals!$D$6)*Assumptions!$B$39)/(1+$A25)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25)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25)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25)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25)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F$19)/($A25-F$19))/(1+$A25)^4.5))/((Historicals!$D$6*(1+Assumptions!$B$26))*(Assumptions!$B$35+Assumptions!$B$37))</f>
        <v>17.135494956895588</v>
      </c>
      <c r="G25" s="15">
        <f>((((Historicals!$D$6*(1+Assumptions!$B$26))*(Assumptions!$B$35*(1-Assumptions!$B$36)+Assumptions!$B$37-Assumptions!$B$38)-((Historicals!$D$6*(1+Assumptions!$B$26))-Historicals!$D$6)*Assumptions!$B$39)/(1+$A25)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25)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25)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25)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25)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G$19)/($A25-G$19))/(1+$A25)^4.5))/((Historicals!$D$6*(1+Assumptions!$B$26))*(Assumptions!$B$35+Assumptions!$B$37))</f>
        <v>18.425908222616588</v>
      </c>
      <c r="H25" s="15">
        <f>((((Historicals!$D$6*(1+Assumptions!$B$26))*(Assumptions!$B$35*(1-Assumptions!$B$36)+Assumptions!$B$37-Assumptions!$B$38)-((Historicals!$D$6*(1+Assumptions!$B$26))-Historicals!$D$6)*Assumptions!$B$39)/(1+$A25)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25)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25)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25)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25)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H$19)/($A25-H$19))/(1+$A25)^4.5))/((Historicals!$D$6*(1+Assumptions!$B$26))*(Assumptions!$B$35+Assumptions!$B$37))</f>
        <v>19.974404141481781</v>
      </c>
      <c r="I25" s="15"/>
    </row>
    <row r="26" spans="1:9" x14ac:dyDescent="0.2">
      <c r="A26" s="23">
        <v>0.1</v>
      </c>
      <c r="B26" s="15">
        <f>((((Historicals!$D$6*(1+Assumptions!$B$26))*(Assumptions!$B$35*(1-Assumptions!$B$36)+Assumptions!$B$37-Assumptions!$B$38)-((Historicals!$D$6*(1+Assumptions!$B$26))-Historicals!$D$6)*Assumptions!$B$39)/(1+$A26)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26)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26)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26)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26)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B$19)/($A26-B$19))/(1+$A26)^4.5))/((Historicals!$D$6*(1+Assumptions!$B$26))*(Assumptions!$B$35+Assumptions!$B$37))</f>
        <v>12.774967336818525</v>
      </c>
      <c r="C26" s="15">
        <f>((((Historicals!$D$6*(1+Assumptions!$B$26))*(Assumptions!$B$35*(1-Assumptions!$B$36)+Assumptions!$B$37-Assumptions!$B$38)-((Historicals!$D$6*(1+Assumptions!$B$26))-Historicals!$D$6)*Assumptions!$B$39)/(1+$A26)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26)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26)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26)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26)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C$19)/($A26-C$19))/(1+$A26)^4.5))/((Historicals!$D$6*(1+Assumptions!$B$26))*(Assumptions!$B$35+Assumptions!$B$37))</f>
        <v>13.391291032481714</v>
      </c>
      <c r="D26" s="15">
        <f>((((Historicals!$D$6*(1+Assumptions!$B$26))*(Assumptions!$B$35*(1-Assumptions!$B$36)+Assumptions!$B$37-Assumptions!$B$38)-((Historicals!$D$6*(1+Assumptions!$B$26))-Historicals!$D$6)*Assumptions!$B$39)/(1+$A26)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26)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26)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26)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26)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D$19)/($A26-D$19))/(1+$A26)^4.5))/((Historicals!$D$6*(1+Assumptions!$B$26))*(Assumptions!$B$35+Assumptions!$B$37))</f>
        <v>14.089791220899986</v>
      </c>
      <c r="E26" s="15">
        <f>((((Historicals!$D$6*(1+Assumptions!$B$26))*(Assumptions!$B$35*(1-Assumptions!$B$36)+Assumptions!$B$37-Assumptions!$B$38)-((Historicals!$D$6*(1+Assumptions!$B$26))-Historicals!$D$6)*Assumptions!$B$39)/(1+$A26)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26)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26)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26)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26)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E$19)/($A26-E$19))/(1+$A26)^4.5))/((Historicals!$D$6*(1+Assumptions!$B$26))*(Assumptions!$B$35+Assumptions!$B$37))</f>
        <v>14.888077150520878</v>
      </c>
      <c r="F26" s="15">
        <f>((((Historicals!$D$6*(1+Assumptions!$B$26))*(Assumptions!$B$35*(1-Assumptions!$B$36)+Assumptions!$B$37-Assumptions!$B$38)-((Historicals!$D$6*(1+Assumptions!$B$26))-Historicals!$D$6)*Assumptions!$B$39)/(1+$A26)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26)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26)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26)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26)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F$19)/($A26-F$19))/(1+$A26)^4.5))/((Historicals!$D$6*(1+Assumptions!$B$26))*(Assumptions!$B$35+Assumptions!$B$37))</f>
        <v>15.809176300083443</v>
      </c>
      <c r="G26" s="15">
        <f>((((Historicals!$D$6*(1+Assumptions!$B$26))*(Assumptions!$B$35*(1-Assumptions!$B$36)+Assumptions!$B$37-Assumptions!$B$38)-((Historicals!$D$6*(1+Assumptions!$B$26))-Historicals!$D$6)*Assumptions!$B$39)/(1+$A26)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26)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26)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26)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26)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G$19)/($A26-G$19))/(1+$A26)^4.5))/((Historicals!$D$6*(1+Assumptions!$B$26))*(Assumptions!$B$35+Assumptions!$B$37))</f>
        <v>16.8837919745731</v>
      </c>
      <c r="H26" s="15">
        <f>((((Historicals!$D$6*(1+Assumptions!$B$26))*(Assumptions!$B$35*(1-Assumptions!$B$36)+Assumptions!$B$37-Assumptions!$B$38)-((Historicals!$D$6*(1+Assumptions!$B$26))-Historicals!$D$6)*Assumptions!$B$39)/(1+$A26)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26)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26)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26)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26)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H$19)/($A26-H$19))/(1+$A26)^4.5))/((Historicals!$D$6*(1+Assumptions!$B$26))*(Assumptions!$B$35+Assumptions!$B$37))</f>
        <v>18.153792317151783</v>
      </c>
      <c r="I26" s="15"/>
    </row>
    <row r="27" spans="1:9" x14ac:dyDescent="0.2">
      <c r="A27" s="23">
        <v>0.105</v>
      </c>
      <c r="B27" s="15">
        <f>((((Historicals!$D$6*(1+Assumptions!$B$26))*(Assumptions!$B$35*(1-Assumptions!$B$36)+Assumptions!$B$37-Assumptions!$B$38)-((Historicals!$D$6*(1+Assumptions!$B$26))-Historicals!$D$6)*Assumptions!$B$39)/(1+$A27)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27)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27)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27)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27)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B$19)/($A27-B$19))/(1+$A27)^4.5))/((Historicals!$D$6*(1+Assumptions!$B$26))*(Assumptions!$B$35+Assumptions!$B$37))</f>
        <v>12.053745726981582</v>
      </c>
      <c r="C27" s="15">
        <f>((((Historicals!$D$6*(1+Assumptions!$B$26))*(Assumptions!$B$35*(1-Assumptions!$B$36)+Assumptions!$B$37-Assumptions!$B$38)-((Historicals!$D$6*(1+Assumptions!$B$26))-Historicals!$D$6)*Assumptions!$B$39)/(1+$A27)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27)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27)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27)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27)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C$19)/($A27-C$19))/(1+$A27)^4.5))/((Historicals!$D$6*(1+Assumptions!$B$26))*(Assumptions!$B$35+Assumptions!$B$37))</f>
        <v>12.59296172374972</v>
      </c>
      <c r="D27" s="15">
        <f>((((Historicals!$D$6*(1+Assumptions!$B$26))*(Assumptions!$B$35*(1-Assumptions!$B$36)+Assumptions!$B$37-Assumptions!$B$38)-((Historicals!$D$6*(1+Assumptions!$B$26))-Historicals!$D$6)*Assumptions!$B$39)/(1+$A27)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27)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27)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27)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27)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D$19)/($A27-D$19))/(1+$A27)^4.5))/((Historicals!$D$6*(1+Assumptions!$B$26))*(Assumptions!$B$35+Assumptions!$B$37))</f>
        <v>13.199579720113874</v>
      </c>
      <c r="E27" s="15">
        <f>((((Historicals!$D$6*(1+Assumptions!$B$26))*(Assumptions!$B$35*(1-Assumptions!$B$36)+Assumptions!$B$37-Assumptions!$B$38)-((Historicals!$D$6*(1+Assumptions!$B$26))-Historicals!$D$6)*Assumptions!$B$39)/(1+$A27)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27)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27)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27)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27)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E$19)/($A27-E$19))/(1+$A27)^4.5))/((Historicals!$D$6*(1+Assumptions!$B$26))*(Assumptions!$B$35+Assumptions!$B$37))</f>
        <v>13.887080115993253</v>
      </c>
      <c r="F27" s="15">
        <f>((((Historicals!$D$6*(1+Assumptions!$B$26))*(Assumptions!$B$35*(1-Assumptions!$B$36)+Assumptions!$B$37-Assumptions!$B$38)-((Historicals!$D$6*(1+Assumptions!$B$26))-Historicals!$D$6)*Assumptions!$B$39)/(1+$A27)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27)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27)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27)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27)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F$19)/($A27-F$19))/(1+$A27)^4.5))/((Historicals!$D$6*(1+Assumptions!$B$26))*(Assumptions!$B$35+Assumptions!$B$37))</f>
        <v>14.672794854141111</v>
      </c>
      <c r="G27" s="15">
        <f>((((Historicals!$D$6*(1+Assumptions!$B$26))*(Assumptions!$B$35*(1-Assumptions!$B$36)+Assumptions!$B$37-Assumptions!$B$38)-((Historicals!$D$6*(1+Assumptions!$B$26))-Historicals!$D$6)*Assumptions!$B$39)/(1+$A27)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27)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27)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27)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27)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G$19)/($A27-G$19))/(1+$A27)^4.5))/((Historicals!$D$6*(1+Assumptions!$B$26))*(Assumptions!$B$35+Assumptions!$B$37))</f>
        <v>15.579388782773258</v>
      </c>
      <c r="H27" s="15">
        <f>((((Historicals!$D$6*(1+Assumptions!$B$26))*(Assumptions!$B$35*(1-Assumptions!$B$36)+Assumptions!$B$37-Assumptions!$B$38)-((Historicals!$D$6*(1+Assumptions!$B$26))-Historicals!$D$6)*Assumptions!$B$39)/(1+$A27)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27)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27)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27)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27)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H$19)/($A27-H$19))/(1+$A27)^4.5))/((Historicals!$D$6*(1+Assumptions!$B$26))*(Assumptions!$B$35+Assumptions!$B$37))</f>
        <v>16.637081699510759</v>
      </c>
      <c r="I27" s="15"/>
    </row>
    <row r="28" spans="1:9" x14ac:dyDescent="0.2">
      <c r="A28" s="23">
        <v>0.11</v>
      </c>
      <c r="B28" s="15">
        <f>((((Historicals!$D$6*(1+Assumptions!$B$26))*(Assumptions!$B$35*(1-Assumptions!$B$36)+Assumptions!$B$37-Assumptions!$B$38)-((Historicals!$D$6*(1+Assumptions!$B$26))-Historicals!$D$6)*Assumptions!$B$39)/(1+$A28)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28)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28)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28)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28)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B$19)/($A28-B$19))/(1+$A28)^4.5))/((Historicals!$D$6*(1+Assumptions!$B$26))*(Assumptions!$B$35+Assumptions!$B$37))</f>
        <v>11.408867390947348</v>
      </c>
      <c r="C28" s="15">
        <f>((((Historicals!$D$6*(1+Assumptions!$B$26))*(Assumptions!$B$35*(1-Assumptions!$B$36)+Assumptions!$B$37-Assumptions!$B$38)-((Historicals!$D$6*(1+Assumptions!$B$26))-Historicals!$D$6)*Assumptions!$B$39)/(1+$A28)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28)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28)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28)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28)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C$19)/($A28-C$19))/(1+$A28)^4.5))/((Historicals!$D$6*(1+Assumptions!$B$26))*(Assumptions!$B$35+Assumptions!$B$37))</f>
        <v>11.883760246058685</v>
      </c>
      <c r="D28" s="15">
        <f>((((Historicals!$D$6*(1+Assumptions!$B$26))*(Assumptions!$B$35*(1-Assumptions!$B$36)+Assumptions!$B$37-Assumptions!$B$38)-((Historicals!$D$6*(1+Assumptions!$B$26))-Historicals!$D$6)*Assumptions!$B$39)/(1+$A28)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28)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28)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28)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28)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D$19)/($A28-D$19))/(1+$A28)^4.5))/((Historicals!$D$6*(1+Assumptions!$B$26))*(Assumptions!$B$35+Assumptions!$B$37))</f>
        <v>12.414522848830176</v>
      </c>
      <c r="E28" s="15">
        <f>((((Historicals!$D$6*(1+Assumptions!$B$26))*(Assumptions!$B$35*(1-Assumptions!$B$36)+Assumptions!$B$37-Assumptions!$B$38)-((Historicals!$D$6*(1+Assumptions!$B$26))-Historicals!$D$6)*Assumptions!$B$39)/(1+$A28)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28)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28)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28)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28)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E$19)/($A28-E$19))/(1+$A28)^4.5))/((Historicals!$D$6*(1+Assumptions!$B$26))*(Assumptions!$B$35+Assumptions!$B$37))</f>
        <v>13.011630776948106</v>
      </c>
      <c r="F28" s="15">
        <f>((((Historicals!$D$6*(1+Assumptions!$B$26))*(Assumptions!$B$35*(1-Assumptions!$B$36)+Assumptions!$B$37-Assumptions!$B$38)-((Historicals!$D$6*(1+Assumptions!$B$26))-Historicals!$D$6)*Assumptions!$B$39)/(1+$A28)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28)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28)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28)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28)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F$19)/($A28-F$19))/(1+$A28)^4.5))/((Historicals!$D$6*(1+Assumptions!$B$26))*(Assumptions!$B$35+Assumptions!$B$37))</f>
        <v>13.688353095481762</v>
      </c>
      <c r="G28" s="15">
        <f>((((Historicals!$D$6*(1+Assumptions!$B$26))*(Assumptions!$B$35*(1-Assumptions!$B$36)+Assumptions!$B$37-Assumptions!$B$38)-((Historicals!$D$6*(1+Assumptions!$B$26))-Historicals!$D$6)*Assumptions!$B$39)/(1+$A28)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28)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28)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28)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28)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G$19)/($A28-G$19))/(1+$A28)^4.5))/((Historicals!$D$6*(1+Assumptions!$B$26))*(Assumptions!$B$35+Assumptions!$B$37))</f>
        <v>14.461750030948791</v>
      </c>
      <c r="H28" s="15">
        <f>((((Historicals!$D$6*(1+Assumptions!$B$26))*(Assumptions!$B$35*(1-Assumptions!$B$36)+Assumptions!$B$37-Assumptions!$B$38)-((Historicals!$D$6*(1+Assumptions!$B$26))-Historicals!$D$6)*Assumptions!$B$39)/(1+$A28)^0.5)+((((Historicals!$D$6*(1+Assumptions!$B$26))*(1+Assumptions!$B$27))*(Assumptions!$B$35*(1-Assumptions!$B$36)+Assumptions!$B$37-Assumptions!$B$38)-(((Historicals!$D$6*(1+Assumptions!$B$26))*(1+Assumptions!$B$27))-(Historicals!$D$6*(1+Assumptions!$B$26)))*Assumptions!$B$39)/(1+$A28)^1.5)+(((((Historicals!$D$6*(1+Assumptions!$B$26))*(1+Assumptions!$B$27))*(1+Assumptions!$B$28))*(Assumptions!$B$35*(1-Assumptions!$B$36)+Assumptions!$B$37-Assumptions!$B$38)-((((Historicals!$D$6*(1+Assumptions!$B$26))*(1+Assumptions!$B$27))*(1+Assumptions!$B$28))-((Historicals!$D$6*(1+Assumptions!$B$26))*(1+Assumptions!$B$27)))*Assumptions!$B$39)/(1+$A28)^2.5)+((((((Historicals!$D$6*(1+Assumptions!$B$26))*(1+Assumptions!$B$27))*(1+Assumptions!$B$28))*(1+Assumptions!$B$29))*(Assumptions!$B$35*(1-Assumptions!$B$36)+Assumptions!$B$37-Assumptions!$B$38)-(((((Historicals!$D$6*(1+Assumptions!$B$26))*(1+Assumptions!$B$27))*(1+Assumptions!$B$28))*(1+Assumptions!$B$29))-(((Historicals!$D$6*(1+Assumptions!$B$26))*(1+Assumptions!$B$27))*(1+Assumptions!$B$28)))*Assumptions!$B$39)/(1+$A28)^3.5)+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/(1+$A28)^4.5)+((((((((Historicals!$D$6*(1+Assumptions!$B$26))*(1+Assumptions!$B$27))*(1+Assumptions!$B$28))*(1+Assumptions!$B$29))*(1+Assumptions!$B$30))*(Assumptions!$B$35*(1-Assumptions!$B$36)+Assumptions!$B$37-Assumptions!$B$38)-((((((Historicals!$D$6*(1+Assumptions!$B$26))*(1+Assumptions!$B$27))*(1+Assumptions!$B$28))*(1+Assumptions!$B$29))*(1+Assumptions!$B$30))-((((Historicals!$D$6*(1+Assumptions!$B$26))*(1+Assumptions!$B$27))*(1+Assumptions!$B$28))*(1+Assumptions!$B$29)))*Assumptions!$B$39)*(1+H$19)/($A28-H$19))/(1+$A28)^4.5))/((Historicals!$D$6*(1+Assumptions!$B$26))*(Assumptions!$B$35+Assumptions!$B$37))</f>
        <v>15.354131110333832</v>
      </c>
      <c r="I28" s="15"/>
    </row>
    <row r="29" spans="1:9" x14ac:dyDescent="0.2">
      <c r="A29" s="15"/>
      <c r="B29" s="15"/>
      <c r="C29" s="15"/>
      <c r="D29" s="15"/>
      <c r="E29" s="15"/>
      <c r="F29" s="15"/>
      <c r="G29" s="15"/>
      <c r="H29" s="15"/>
      <c r="I29" s="15"/>
    </row>
    <row r="30" spans="1:9" x14ac:dyDescent="0.2">
      <c r="A30" s="15"/>
      <c r="B30" s="15"/>
      <c r="C30" s="15"/>
      <c r="D30" s="15"/>
      <c r="E30" s="15"/>
      <c r="F30" s="15"/>
      <c r="G30" s="15"/>
      <c r="H30" s="15"/>
      <c r="I30" s="15"/>
    </row>
    <row r="31" spans="1:9" x14ac:dyDescent="0.2">
      <c r="A31" s="10" t="s">
        <v>121</v>
      </c>
      <c r="B31" s="63" t="s">
        <v>122</v>
      </c>
      <c r="C31" s="64" t="s">
        <v>123</v>
      </c>
      <c r="D31" s="65" t="s">
        <v>124</v>
      </c>
      <c r="E31" s="5"/>
      <c r="F31" s="5"/>
      <c r="G31" s="5"/>
      <c r="H31" s="5"/>
      <c r="I31" s="5"/>
    </row>
  </sheetData>
  <mergeCells count="2">
    <mergeCell ref="A4:I4"/>
    <mergeCell ref="A18:I18"/>
  </mergeCells>
  <conditionalFormatting sqref="B20:H28">
    <cfRule type="cellIs" dxfId="2" priority="4" operator="greaterThan">
      <formula>25</formula>
    </cfRule>
  </conditionalFormatting>
  <conditionalFormatting sqref="B20:H28">
    <cfRule type="cellIs" dxfId="1" priority="5" operator="between">
      <formula>18</formula>
      <formula>25</formula>
    </cfRule>
  </conditionalFormatting>
  <conditionalFormatting sqref="B20:H28">
    <cfRule type="cellIs" dxfId="0" priority="6" operator="lessThan">
      <formula>18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greaterThan" id="{AB6FFA5E-7B98-7D49-8F02-B0493D5AE6C4}">
            <xm:f>Assumptions!$B$52*1.2</xm:f>
            <x14:dxf>
              <font>
                <color rgb="FF1A5C00"/>
              </font>
              <fill>
                <patternFill patternType="solid">
                  <fgColor indexed="64"/>
                  <bgColor rgb="FF92D050"/>
                </patternFill>
              </fill>
            </x14:dxf>
          </x14:cfRule>
          <xm:sqref>B6:H14</xm:sqref>
        </x14:conditionalFormatting>
        <x14:conditionalFormatting xmlns:xm="http://schemas.microsoft.com/office/excel/2006/main">
          <x14:cfRule type="cellIs" priority="2" operator="between" id="{AA74017D-D7F3-3F42-A45C-AC0F6FC828A5}">
            <xm:f>Assumptions!$B$52*0.8</xm:f>
            <xm:f>Assumptions!$B$52*1.2</xm:f>
            <x14:dxf>
              <font>
                <color rgb="FF9C5700"/>
              </font>
              <fill>
                <patternFill patternType="solid">
                  <fgColor indexed="64"/>
                  <bgColor rgb="FFFFEB9C"/>
                </patternFill>
              </fill>
            </x14:dxf>
          </x14:cfRule>
          <xm:sqref>B6:H14</xm:sqref>
        </x14:conditionalFormatting>
        <x14:conditionalFormatting xmlns:xm="http://schemas.microsoft.com/office/excel/2006/main">
          <x14:cfRule type="cellIs" priority="3" operator="lessThan" id="{86873E4B-923F-6B48-9B92-7681B1A1B8DF}">
            <xm:f>Assumptions!$B$52*0.8</xm:f>
            <x14:dxf>
              <font>
                <color rgb="FF9C0006"/>
              </font>
              <fill>
                <patternFill patternType="solid">
                  <fgColor indexed="64"/>
                  <bgColor rgb="FFFFC7CE"/>
                </patternFill>
              </fill>
            </x14:dxf>
          </x14:cfRule>
          <xm:sqref>B6:H14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4AD4B-B813-7A4C-B7AF-E9E225223299}">
  <sheetPr>
    <tabColor rgb="FF7030A0"/>
  </sheetPr>
  <dimension ref="A1:L39"/>
  <sheetViews>
    <sheetView workbookViewId="0">
      <pane ySplit="4" topLeftCell="A5" activePane="bottomLeft" state="frozen"/>
      <selection pane="bottomLeft" activeCell="H25" sqref="H25"/>
    </sheetView>
  </sheetViews>
  <sheetFormatPr baseColWidth="10" defaultRowHeight="16" x14ac:dyDescent="0.2"/>
  <cols>
    <col min="1" max="1" width="26.6640625" customWidth="1"/>
    <col min="2" max="2" width="10" customWidth="1"/>
    <col min="3" max="3" width="13.33203125" customWidth="1"/>
    <col min="4" max="12" width="14.1640625" customWidth="1"/>
  </cols>
  <sheetData>
    <row r="1" spans="1:12" ht="19" x14ac:dyDescent="0.25">
      <c r="A1" s="4" t="s">
        <v>141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x14ac:dyDescent="0.2">
      <c r="A2" s="16" t="s">
        <v>142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2" x14ac:dyDescent="0.2">
      <c r="A4" s="32" t="s">
        <v>143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 x14ac:dyDescent="0.2">
      <c r="A5" s="46" t="s">
        <v>144</v>
      </c>
      <c r="B5" s="46" t="s">
        <v>145</v>
      </c>
      <c r="C5" s="46" t="s">
        <v>146</v>
      </c>
      <c r="D5" s="46" t="s">
        <v>147</v>
      </c>
      <c r="E5" s="46" t="s">
        <v>68</v>
      </c>
      <c r="F5" s="46" t="s">
        <v>148</v>
      </c>
      <c r="G5" s="46" t="s">
        <v>149</v>
      </c>
      <c r="H5" s="46" t="s">
        <v>150</v>
      </c>
      <c r="I5" s="46" t="s">
        <v>151</v>
      </c>
      <c r="J5" s="46" t="s">
        <v>152</v>
      </c>
      <c r="K5" s="46" t="s">
        <v>153</v>
      </c>
      <c r="L5" s="46" t="s">
        <v>154</v>
      </c>
    </row>
    <row r="6" spans="1:12" x14ac:dyDescent="0.2">
      <c r="A6" s="15" t="s">
        <v>155</v>
      </c>
      <c r="B6" s="15" t="s">
        <v>156</v>
      </c>
      <c r="C6" s="22">
        <v>168</v>
      </c>
      <c r="D6" s="22">
        <v>2100000</v>
      </c>
      <c r="E6" s="22">
        <v>-96000</v>
      </c>
      <c r="F6" s="25">
        <f>D6+E6</f>
        <v>2004000</v>
      </c>
      <c r="G6" s="22">
        <v>350018</v>
      </c>
      <c r="H6" s="22">
        <v>134000</v>
      </c>
      <c r="I6" s="22">
        <v>100118</v>
      </c>
      <c r="J6" s="25">
        <f>F6/G6</f>
        <v>5.7254198355513148</v>
      </c>
      <c r="K6" s="25">
        <f>F6/H6</f>
        <v>14.955223880597014</v>
      </c>
      <c r="L6" s="25">
        <f>D6/I6</f>
        <v>20.975249205936993</v>
      </c>
    </row>
    <row r="7" spans="1:12" x14ac:dyDescent="0.2">
      <c r="A7" s="15" t="s">
        <v>157</v>
      </c>
      <c r="B7" s="15" t="s">
        <v>158</v>
      </c>
      <c r="C7" s="22">
        <v>205</v>
      </c>
      <c r="D7" s="22">
        <v>3050000</v>
      </c>
      <c r="E7" s="22">
        <v>-51000</v>
      </c>
      <c r="F7" s="25">
        <f>D7+E7</f>
        <v>2999000</v>
      </c>
      <c r="G7" s="22">
        <v>391035</v>
      </c>
      <c r="H7" s="22">
        <v>134661</v>
      </c>
      <c r="I7" s="22">
        <v>93736</v>
      </c>
      <c r="J7" s="25">
        <f>F7/G7</f>
        <v>7.6693902080376439</v>
      </c>
      <c r="K7" s="25">
        <f>F7/H7</f>
        <v>22.270739115259801</v>
      </c>
      <c r="L7" s="25">
        <f>D7/I7</f>
        <v>32.538192370060592</v>
      </c>
    </row>
    <row r="8" spans="1:12" x14ac:dyDescent="0.2">
      <c r="A8" s="15" t="s">
        <v>159</v>
      </c>
      <c r="B8" s="15" t="s">
        <v>160</v>
      </c>
      <c r="C8" s="22">
        <v>308</v>
      </c>
      <c r="D8" s="22">
        <v>290000</v>
      </c>
      <c r="E8" s="22">
        <v>4000</v>
      </c>
      <c r="F8" s="25">
        <f>D8+E8</f>
        <v>294000</v>
      </c>
      <c r="G8" s="22">
        <v>37900</v>
      </c>
      <c r="H8" s="22">
        <v>10480</v>
      </c>
      <c r="I8" s="22">
        <v>6200</v>
      </c>
      <c r="J8" s="25">
        <f>F8/G8</f>
        <v>7.7572559366754614</v>
      </c>
      <c r="K8" s="25">
        <f>F8/H8</f>
        <v>28.053435114503817</v>
      </c>
      <c r="L8" s="25">
        <f>D8/I8</f>
        <v>46.774193548387096</v>
      </c>
    </row>
    <row r="9" spans="1:12" x14ac:dyDescent="0.2">
      <c r="A9" s="15" t="s">
        <v>161</v>
      </c>
      <c r="B9" s="15" t="s">
        <v>162</v>
      </c>
      <c r="C9" s="22">
        <v>154</v>
      </c>
      <c r="D9" s="22">
        <v>430000</v>
      </c>
      <c r="E9" s="22">
        <v>77000</v>
      </c>
      <c r="F9" s="25">
        <f>D9+E9</f>
        <v>507000</v>
      </c>
      <c r="G9" s="22">
        <v>53000</v>
      </c>
      <c r="H9" s="22">
        <v>24400</v>
      </c>
      <c r="I9" s="22">
        <v>10500</v>
      </c>
      <c r="J9" s="25">
        <f>F9/G9</f>
        <v>9.566037735849056</v>
      </c>
      <c r="K9" s="25">
        <f>F9/H9</f>
        <v>20.778688524590162</v>
      </c>
      <c r="L9" s="25">
        <f>D9/I9</f>
        <v>40.952380952380949</v>
      </c>
    </row>
    <row r="10" spans="1:12" x14ac:dyDescent="0.2">
      <c r="A10" s="15" t="s">
        <v>163</v>
      </c>
      <c r="B10" s="15" t="s">
        <v>164</v>
      </c>
      <c r="C10" s="22">
        <v>350</v>
      </c>
      <c r="D10" s="22">
        <v>150000</v>
      </c>
      <c r="E10" s="22">
        <v>-3500</v>
      </c>
      <c r="F10" s="25">
        <f>D10+E10</f>
        <v>146500</v>
      </c>
      <c r="G10" s="22">
        <v>21510</v>
      </c>
      <c r="H10" s="22">
        <v>8450</v>
      </c>
      <c r="I10" s="22">
        <v>5560</v>
      </c>
      <c r="J10" s="25">
        <f>F10/G10</f>
        <v>6.8107856810785679</v>
      </c>
      <c r="K10" s="25">
        <f>F10/H10</f>
        <v>17.337278106508876</v>
      </c>
      <c r="L10" s="25">
        <f>D10/I10</f>
        <v>26.978417266187051</v>
      </c>
    </row>
    <row r="11" spans="1:12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2" spans="1:12" x14ac:dyDescent="0.2">
      <c r="A12" s="66" t="s">
        <v>165</v>
      </c>
      <c r="B12" s="15"/>
      <c r="C12" s="15"/>
      <c r="D12" s="15"/>
      <c r="E12" s="15"/>
      <c r="F12" s="15"/>
      <c r="G12" s="15"/>
      <c r="H12" s="15"/>
      <c r="I12" s="15"/>
      <c r="J12" s="25">
        <f>MIN(J6:J10)</f>
        <v>5.7254198355513148</v>
      </c>
      <c r="K12" s="25">
        <f>MIN(K6:K10)</f>
        <v>14.955223880597014</v>
      </c>
      <c r="L12" s="25">
        <f>MIN(L6:L10)</f>
        <v>20.975249205936993</v>
      </c>
    </row>
    <row r="13" spans="1:12" x14ac:dyDescent="0.2">
      <c r="A13" s="66" t="s">
        <v>166</v>
      </c>
      <c r="B13" s="15"/>
      <c r="C13" s="15"/>
      <c r="D13" s="15"/>
      <c r="E13" s="15"/>
      <c r="F13" s="15"/>
      <c r="G13" s="15"/>
      <c r="H13" s="15"/>
      <c r="I13" s="15"/>
      <c r="J13" s="25">
        <f>QUARTILE(J6:J10,1)</f>
        <v>6.8107856810785679</v>
      </c>
      <c r="K13" s="25">
        <f>QUARTILE(K6:K10,1)</f>
        <v>17.337278106508876</v>
      </c>
      <c r="L13" s="25">
        <f>QUARTILE(L6:L10,1)</f>
        <v>26.978417266187051</v>
      </c>
    </row>
    <row r="14" spans="1:12" x14ac:dyDescent="0.2">
      <c r="A14" s="67" t="s">
        <v>167</v>
      </c>
      <c r="B14" s="39"/>
      <c r="C14" s="39"/>
      <c r="D14" s="39"/>
      <c r="E14" s="39"/>
      <c r="F14" s="39"/>
      <c r="G14" s="39"/>
      <c r="H14" s="39"/>
      <c r="I14" s="39"/>
      <c r="J14" s="40">
        <f>MEDIAN(J6:J10)</f>
        <v>7.6693902080376439</v>
      </c>
      <c r="K14" s="40">
        <f>MEDIAN(K6:K10)</f>
        <v>20.778688524590162</v>
      </c>
      <c r="L14" s="40">
        <f>MEDIAN(L6:L10)</f>
        <v>32.538192370060592</v>
      </c>
    </row>
    <row r="15" spans="1:12" x14ac:dyDescent="0.2">
      <c r="A15" s="66" t="s">
        <v>168</v>
      </c>
      <c r="B15" s="15"/>
      <c r="C15" s="15"/>
      <c r="D15" s="15"/>
      <c r="E15" s="15"/>
      <c r="F15" s="15"/>
      <c r="G15" s="15"/>
      <c r="H15" s="15"/>
      <c r="I15" s="15"/>
      <c r="J15" s="25">
        <f>AVERAGE(J6:J10)</f>
        <v>7.5057778794384094</v>
      </c>
      <c r="K15" s="25">
        <f>AVERAGE(K6:K10)</f>
        <v>20.679072948291935</v>
      </c>
      <c r="L15" s="25">
        <f>AVERAGE(L6:L10)</f>
        <v>33.64368666859054</v>
      </c>
    </row>
    <row r="16" spans="1:12" x14ac:dyDescent="0.2">
      <c r="A16" s="66" t="s">
        <v>169</v>
      </c>
      <c r="B16" s="15"/>
      <c r="C16" s="15"/>
      <c r="D16" s="15"/>
      <c r="E16" s="15"/>
      <c r="F16" s="15"/>
      <c r="G16" s="15"/>
      <c r="H16" s="15"/>
      <c r="I16" s="15"/>
      <c r="J16" s="25">
        <f>QUARTILE(J6:J10,3)</f>
        <v>7.7572559366754614</v>
      </c>
      <c r="K16" s="25">
        <f>QUARTILE(K6:K10,3)</f>
        <v>22.270739115259801</v>
      </c>
      <c r="L16" s="25">
        <f>QUARTILE(L6:L10,3)</f>
        <v>40.952380952380949</v>
      </c>
    </row>
    <row r="17" spans="1:12" x14ac:dyDescent="0.2">
      <c r="A17" s="66" t="s">
        <v>170</v>
      </c>
      <c r="B17" s="15"/>
      <c r="C17" s="15"/>
      <c r="D17" s="15"/>
      <c r="E17" s="15"/>
      <c r="F17" s="15"/>
      <c r="G17" s="15"/>
      <c r="H17" s="15"/>
      <c r="I17" s="15"/>
      <c r="J17" s="25">
        <f>MAX(J6:J10)</f>
        <v>9.566037735849056</v>
      </c>
      <c r="K17" s="25">
        <f>MAX(K6:K10)</f>
        <v>28.053435114503817</v>
      </c>
      <c r="L17" s="25">
        <f>MAX(L6:L10)</f>
        <v>46.774193548387096</v>
      </c>
    </row>
    <row r="18" spans="1:12" x14ac:dyDescent="0.2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1:12" x14ac:dyDescent="0.2">
      <c r="A19" s="18" t="s">
        <v>171</v>
      </c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</row>
    <row r="20" spans="1:12" x14ac:dyDescent="0.2">
      <c r="A20" s="23" t="s">
        <v>144</v>
      </c>
      <c r="B20" s="23" t="s">
        <v>145</v>
      </c>
      <c r="C20" s="23" t="s">
        <v>146</v>
      </c>
      <c r="D20" s="23" t="s">
        <v>147</v>
      </c>
      <c r="E20" s="23" t="s">
        <v>68</v>
      </c>
      <c r="F20" s="23" t="s">
        <v>148</v>
      </c>
      <c r="G20" s="23" t="s">
        <v>172</v>
      </c>
      <c r="H20" s="23" t="s">
        <v>173</v>
      </c>
      <c r="I20" s="23" t="s">
        <v>174</v>
      </c>
      <c r="J20" s="23" t="s">
        <v>152</v>
      </c>
      <c r="K20" s="23" t="s">
        <v>153</v>
      </c>
      <c r="L20" s="23" t="s">
        <v>154</v>
      </c>
    </row>
    <row r="21" spans="1:12" x14ac:dyDescent="0.2">
      <c r="A21" s="69" t="s">
        <v>175</v>
      </c>
      <c r="B21" s="69" t="s">
        <v>125</v>
      </c>
      <c r="C21" s="70">
        <f>Assumptions!$B$52</f>
        <v>420</v>
      </c>
      <c r="D21" s="69">
        <f>C21*Assumptions!$B$50</f>
        <v>3120600</v>
      </c>
      <c r="E21" s="70">
        <f>Assumptions!$B$51</f>
        <v>-26000</v>
      </c>
      <c r="F21" s="69">
        <f>D21+E21</f>
        <v>3094600</v>
      </c>
      <c r="G21" s="70">
        <f>Projections!C6</f>
        <v>281890.3</v>
      </c>
      <c r="H21" s="70">
        <f>Projections!C17+Projections!C27</f>
        <v>138126.247</v>
      </c>
      <c r="I21" s="70">
        <f>Projections!C23</f>
        <v>104017.52069999999</v>
      </c>
      <c r="J21" s="71">
        <f>F21/G21</f>
        <v>10.978029396541846</v>
      </c>
      <c r="K21" s="71">
        <f>F21/H21</f>
        <v>22.404141625595603</v>
      </c>
      <c r="L21" s="71">
        <f>D21/I21</f>
        <v>30.000715062227012</v>
      </c>
    </row>
    <row r="22" spans="1:12" x14ac:dyDescent="0.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</row>
    <row r="23" spans="1:12" x14ac:dyDescent="0.2">
      <c r="A23" s="32" t="s">
        <v>176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</row>
    <row r="24" spans="1:12" x14ac:dyDescent="0.2">
      <c r="A24" s="23" t="s">
        <v>177</v>
      </c>
      <c r="B24" s="23" t="s">
        <v>178</v>
      </c>
      <c r="C24" s="23" t="s">
        <v>179</v>
      </c>
      <c r="D24" s="23" t="s">
        <v>117</v>
      </c>
      <c r="E24" s="15"/>
      <c r="F24" s="15"/>
      <c r="G24" s="15"/>
      <c r="H24" s="15"/>
      <c r="I24" s="15"/>
      <c r="J24" s="15"/>
      <c r="K24" s="15"/>
      <c r="L24" s="15"/>
    </row>
    <row r="25" spans="1:12" x14ac:dyDescent="0.2">
      <c r="A25" s="15" t="s">
        <v>180</v>
      </c>
      <c r="B25" s="25">
        <f>K13</f>
        <v>17.337278106508876</v>
      </c>
      <c r="C25" s="25">
        <f>B25*H21</f>
        <v>2394733.1580473376</v>
      </c>
      <c r="D25" s="26">
        <f>(C25-E21)/Assumptions!$B$50</f>
        <v>325.8052702620912</v>
      </c>
      <c r="E25" s="15"/>
      <c r="F25" s="15"/>
      <c r="G25" s="15"/>
      <c r="H25" s="15"/>
      <c r="I25" s="15"/>
      <c r="J25" s="15"/>
      <c r="K25" s="15"/>
      <c r="L25" s="15"/>
    </row>
    <row r="26" spans="1:12" x14ac:dyDescent="0.2">
      <c r="A26" s="53" t="s">
        <v>181</v>
      </c>
      <c r="B26" s="52">
        <f>K14</f>
        <v>20.778688524590162</v>
      </c>
      <c r="C26" s="52">
        <f>B26*H21</f>
        <v>2870082.2634836063</v>
      </c>
      <c r="D26" s="40">
        <f>(C26-E21)/Assumptions!$B$50</f>
        <v>389.78226964786086</v>
      </c>
      <c r="E26" s="15"/>
      <c r="F26" s="15"/>
      <c r="G26" s="15"/>
      <c r="H26" s="15"/>
      <c r="I26" s="15"/>
      <c r="J26" s="15"/>
      <c r="K26" s="15"/>
      <c r="L26" s="15"/>
    </row>
    <row r="27" spans="1:12" x14ac:dyDescent="0.2">
      <c r="A27" s="15" t="s">
        <v>182</v>
      </c>
      <c r="B27" s="25">
        <f>K16</f>
        <v>22.270739115259801</v>
      </c>
      <c r="C27" s="25">
        <f>B27*H21</f>
        <v>3076173.6119069369</v>
      </c>
      <c r="D27" s="26">
        <f>(C27-E21)/Assumptions!$B$50</f>
        <v>417.52000160254869</v>
      </c>
      <c r="E27" s="15"/>
      <c r="F27" s="15"/>
      <c r="G27" s="15"/>
      <c r="H27" s="15"/>
      <c r="I27" s="15"/>
      <c r="J27" s="15"/>
      <c r="K27" s="15"/>
      <c r="L27" s="15"/>
    </row>
    <row r="28" spans="1:12" x14ac:dyDescent="0.2">
      <c r="A28" s="15" t="s">
        <v>183</v>
      </c>
      <c r="B28" s="25">
        <f>L13</f>
        <v>26.978417266187051</v>
      </c>
      <c r="C28" s="25" t="s">
        <v>184</v>
      </c>
      <c r="D28" s="26">
        <f>B28*I21/Assumptions!$B$50</f>
        <v>377.68883935919905</v>
      </c>
      <c r="E28" s="15"/>
      <c r="F28" s="15"/>
      <c r="G28" s="15"/>
      <c r="H28" s="15"/>
      <c r="I28" s="15"/>
      <c r="J28" s="15"/>
      <c r="K28" s="15"/>
      <c r="L28" s="15"/>
    </row>
    <row r="29" spans="1:12" x14ac:dyDescent="0.2">
      <c r="A29" s="53" t="s">
        <v>185</v>
      </c>
      <c r="B29" s="52">
        <f>L14</f>
        <v>32.538192370060592</v>
      </c>
      <c r="C29" s="52" t="s">
        <v>184</v>
      </c>
      <c r="D29" s="40">
        <f>B29*I21/Assumptions!$B$50</f>
        <v>455.52383558457063</v>
      </c>
      <c r="E29" s="15"/>
      <c r="F29" s="15"/>
      <c r="G29" s="15"/>
      <c r="H29" s="15"/>
      <c r="I29" s="15"/>
      <c r="J29" s="15"/>
      <c r="K29" s="15"/>
      <c r="L29" s="15"/>
    </row>
    <row r="30" spans="1:12" x14ac:dyDescent="0.2">
      <c r="A30" s="15" t="s">
        <v>186</v>
      </c>
      <c r="B30" s="25">
        <f>L16</f>
        <v>40.952380952380949</v>
      </c>
      <c r="C30" s="25" t="s">
        <v>184</v>
      </c>
      <c r="D30" s="26">
        <f>B30*I21/Assumptions!$B$50</f>
        <v>573.31966802537966</v>
      </c>
      <c r="E30" s="15"/>
      <c r="F30" s="15"/>
      <c r="G30" s="15"/>
      <c r="H30" s="15"/>
      <c r="I30" s="15"/>
      <c r="J30" s="15"/>
      <c r="K30" s="15"/>
      <c r="L30" s="15"/>
    </row>
    <row r="31" spans="1:12" x14ac:dyDescent="0.2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spans="1:12" x14ac:dyDescent="0.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spans="1:6" x14ac:dyDescent="0.2">
      <c r="A33" s="32" t="s">
        <v>294</v>
      </c>
      <c r="B33" s="33"/>
      <c r="C33" s="33"/>
      <c r="D33" s="33"/>
      <c r="E33" s="33"/>
      <c r="F33" s="33"/>
    </row>
    <row r="34" spans="1:6" x14ac:dyDescent="0.2">
      <c r="A34" s="46" t="s">
        <v>131</v>
      </c>
      <c r="B34" s="46" t="s">
        <v>295</v>
      </c>
      <c r="C34" s="46" t="s">
        <v>296</v>
      </c>
      <c r="D34" s="46" t="s">
        <v>297</v>
      </c>
      <c r="E34" s="46" t="s">
        <v>298</v>
      </c>
      <c r="F34" s="46" t="s">
        <v>299</v>
      </c>
    </row>
    <row r="35" spans="1:6" x14ac:dyDescent="0.2">
      <c r="A35" s="15" t="s">
        <v>300</v>
      </c>
      <c r="B35" s="25">
        <f>'DCF Valuation'!B34</f>
        <v>326.82844426355524</v>
      </c>
      <c r="C35" s="25">
        <f>Assumptions!B52</f>
        <v>420</v>
      </c>
      <c r="D35" s="25" t="s">
        <v>301</v>
      </c>
      <c r="E35" s="25">
        <f>B35-C35</f>
        <v>-93.171555736444759</v>
      </c>
      <c r="F35" s="25" t="s">
        <v>301</v>
      </c>
    </row>
    <row r="36" spans="1:6" x14ac:dyDescent="0.2">
      <c r="A36" s="15" t="s">
        <v>302</v>
      </c>
      <c r="B36" s="53">
        <f>('DCF Valuation'!B34*Assumptions!$B$50+Assumptions!$B$51)/(Projections!C17+Projections!C27)</f>
        <v>17.392316037358313</v>
      </c>
      <c r="C36" s="108">
        <f>(Assumptions!$B$52*Assumptions!$B$50+Assumptions!$B$51)/(Projections!C17+Projections!C27)</f>
        <v>22.404141625595603</v>
      </c>
      <c r="D36" s="15">
        <f>K14</f>
        <v>20.778688524590162</v>
      </c>
      <c r="E36" s="15">
        <f>B36-D36</f>
        <v>-3.3863724872318492</v>
      </c>
      <c r="F36" s="15">
        <f>C36-D36</f>
        <v>1.6254531010054407</v>
      </c>
    </row>
    <row r="37" spans="1:6" x14ac:dyDescent="0.2">
      <c r="A37" s="15" t="s">
        <v>303</v>
      </c>
      <c r="B37" s="53">
        <f>'DCF Valuation'!B34/(Projections!C23/Assumptions!$B$50)</f>
        <v>23.345445310909199</v>
      </c>
      <c r="C37" s="108">
        <f>Assumptions!$B$52/(Projections!C23/Assumptions!$B$50)</f>
        <v>30.000715062227012</v>
      </c>
      <c r="D37" s="15">
        <f>L14</f>
        <v>32.538192370060592</v>
      </c>
      <c r="E37" s="15">
        <f>B37-D37</f>
        <v>-9.1927470591513938</v>
      </c>
      <c r="F37" s="15">
        <f>C37-D37</f>
        <v>-2.5374773078335799</v>
      </c>
    </row>
    <row r="38" spans="1:6" x14ac:dyDescent="0.2">
      <c r="A38" s="15"/>
      <c r="B38" s="15"/>
      <c r="C38" s="15"/>
      <c r="D38" s="15"/>
      <c r="E38" s="15"/>
      <c r="F38" s="15"/>
    </row>
    <row r="39" spans="1:6" x14ac:dyDescent="0.2">
      <c r="A39" s="77" t="s">
        <v>304</v>
      </c>
      <c r="B39" s="77"/>
      <c r="C39" s="77"/>
      <c r="D39" s="77"/>
      <c r="E39" s="77"/>
      <c r="F39" s="77"/>
    </row>
  </sheetData>
  <mergeCells count="5">
    <mergeCell ref="A4:L4"/>
    <mergeCell ref="A19:L19"/>
    <mergeCell ref="A23:L23"/>
    <mergeCell ref="A33:F33"/>
    <mergeCell ref="A39:F3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14225-C4F2-CB4D-9E98-7DB5B292DBF6}">
  <sheetPr>
    <tabColor rgb="FF003366"/>
  </sheetPr>
  <dimension ref="A1:H59"/>
  <sheetViews>
    <sheetView showGridLines="0" tabSelected="1" workbookViewId="0">
      <selection activeCell="G49" sqref="G49"/>
    </sheetView>
  </sheetViews>
  <sheetFormatPr baseColWidth="10" defaultRowHeight="16" x14ac:dyDescent="0.2"/>
  <cols>
    <col min="1" max="1" width="33.33203125" customWidth="1"/>
    <col min="2" max="2" width="16.6640625" customWidth="1"/>
    <col min="3" max="3" width="5" customWidth="1"/>
    <col min="4" max="4" width="30" customWidth="1"/>
    <col min="5" max="6" width="15" customWidth="1"/>
  </cols>
  <sheetData>
    <row r="1" spans="1:8" ht="47" x14ac:dyDescent="0.55000000000000004">
      <c r="A1" s="55" t="s">
        <v>125</v>
      </c>
      <c r="B1" s="56" t="s">
        <v>126</v>
      </c>
      <c r="C1" s="5"/>
      <c r="D1" s="5"/>
      <c r="E1" s="10" t="s">
        <v>128</v>
      </c>
      <c r="F1" s="11" t="s">
        <v>129</v>
      </c>
      <c r="G1" s="5"/>
      <c r="H1" s="5"/>
    </row>
    <row r="2" spans="1:8" x14ac:dyDescent="0.2">
      <c r="A2" s="5"/>
      <c r="B2" s="16" t="s">
        <v>127</v>
      </c>
      <c r="C2" s="5"/>
      <c r="D2" s="5"/>
      <c r="E2" s="5"/>
      <c r="F2" s="5"/>
      <c r="G2" s="5"/>
      <c r="H2" s="5"/>
    </row>
    <row r="3" spans="1:8" x14ac:dyDescent="0.2">
      <c r="A3" s="60"/>
      <c r="B3" s="60"/>
      <c r="C3" s="60"/>
      <c r="D3" s="60"/>
      <c r="E3" s="60"/>
      <c r="F3" s="60"/>
      <c r="G3" s="5"/>
      <c r="H3" s="5"/>
    </row>
    <row r="4" spans="1:8" x14ac:dyDescent="0.2">
      <c r="A4" s="29" t="s">
        <v>130</v>
      </c>
      <c r="B4" s="29"/>
      <c r="C4" s="29"/>
      <c r="D4" s="31"/>
      <c r="E4" s="31"/>
      <c r="F4" s="31"/>
      <c r="G4" s="5"/>
      <c r="H4" s="5"/>
    </row>
    <row r="5" spans="1:8" x14ac:dyDescent="0.2">
      <c r="A5" s="12" t="s">
        <v>131</v>
      </c>
      <c r="B5" s="12" t="s">
        <v>31</v>
      </c>
      <c r="C5" s="5"/>
      <c r="D5" s="12" t="s">
        <v>49</v>
      </c>
      <c r="E5" s="12" t="s">
        <v>31</v>
      </c>
      <c r="F5" s="12"/>
      <c r="G5" s="5"/>
      <c r="H5" s="5"/>
    </row>
    <row r="6" spans="1:8" x14ac:dyDescent="0.2">
      <c r="A6" s="45" t="s">
        <v>132</v>
      </c>
      <c r="B6" s="45">
        <f>'DCF Valuation'!B34</f>
        <v>326.82844426355524</v>
      </c>
      <c r="C6" s="5"/>
      <c r="D6" s="5" t="s">
        <v>61</v>
      </c>
      <c r="E6" s="44">
        <f>Assumptions!$B$44</f>
        <v>0.09</v>
      </c>
      <c r="F6" s="5"/>
      <c r="G6" s="5"/>
      <c r="H6" s="5"/>
    </row>
    <row r="7" spans="1:8" x14ac:dyDescent="0.2">
      <c r="A7" s="5" t="s">
        <v>111</v>
      </c>
      <c r="B7" s="13">
        <f>'DCF Valuation'!B35</f>
        <v>420</v>
      </c>
      <c r="C7" s="5"/>
      <c r="D7" s="5" t="s">
        <v>63</v>
      </c>
      <c r="E7" s="44">
        <f>Assumptions!$B$45</f>
        <v>0.03</v>
      </c>
      <c r="F7" s="5"/>
      <c r="G7" s="5"/>
      <c r="H7" s="5"/>
    </row>
    <row r="8" spans="1:8" x14ac:dyDescent="0.2">
      <c r="A8" s="10" t="s">
        <v>112</v>
      </c>
      <c r="B8" s="14">
        <f>'DCF Valuation'!B36</f>
        <v>-0.22183703746772565</v>
      </c>
      <c r="C8" s="5"/>
      <c r="D8" s="5" t="s">
        <v>53</v>
      </c>
      <c r="E8" s="44">
        <f>Assumptions!$B$35</f>
        <v>0.45</v>
      </c>
      <c r="F8" s="5"/>
      <c r="G8" s="5"/>
      <c r="H8" s="5"/>
    </row>
    <row r="9" spans="1:8" x14ac:dyDescent="0.2">
      <c r="A9" s="5" t="s">
        <v>105</v>
      </c>
      <c r="B9" s="13">
        <f>'DCF Valuation'!B25</f>
        <v>2402335.3408782156</v>
      </c>
      <c r="C9" s="5"/>
      <c r="D9" s="5" t="s">
        <v>51</v>
      </c>
      <c r="E9" s="44">
        <f>Assumptions!$B$34</f>
        <v>0.7</v>
      </c>
      <c r="F9" s="5"/>
      <c r="G9" s="5"/>
      <c r="H9" s="5"/>
    </row>
    <row r="10" spans="1:8" x14ac:dyDescent="0.2">
      <c r="A10" s="5" t="s">
        <v>133</v>
      </c>
      <c r="B10" s="13">
        <f>'DCF Valuation'!B25/Projections!C6</f>
        <v>8.5222348583055734</v>
      </c>
      <c r="C10" s="5"/>
      <c r="D10" s="5" t="s">
        <v>135</v>
      </c>
      <c r="E10" s="44">
        <f>Assumptions!$B$26</f>
        <v>0.15</v>
      </c>
      <c r="F10" s="5"/>
      <c r="G10" s="5"/>
      <c r="H10" s="5"/>
    </row>
    <row r="11" spans="1:8" x14ac:dyDescent="0.2">
      <c r="A11" s="5" t="s">
        <v>134</v>
      </c>
      <c r="B11" s="13">
        <f>('DCF Valuation'!B34*Assumptions!$B$50)/(Projections!C17*(1-Assumptions!$B$36))</f>
        <v>23.345445310909199</v>
      </c>
      <c r="C11" s="5"/>
      <c r="D11" s="5" t="s">
        <v>136</v>
      </c>
      <c r="E11" s="44">
        <f>Assumptions!$B$30</f>
        <v>0.11</v>
      </c>
      <c r="F11" s="5"/>
      <c r="G11" s="5"/>
      <c r="H11" s="5"/>
    </row>
    <row r="12" spans="1:8" ht="19" x14ac:dyDescent="0.25">
      <c r="A12" s="57" t="s">
        <v>113</v>
      </c>
      <c r="B12" s="58" t="str">
        <f>'DCF Valuation'!B37</f>
        <v>SELL</v>
      </c>
      <c r="C12" s="5"/>
      <c r="D12" s="5" t="s">
        <v>66</v>
      </c>
      <c r="E12" s="44">
        <f>Assumptions!$B$50</f>
        <v>7430</v>
      </c>
      <c r="F12" s="5"/>
      <c r="G12" s="5"/>
      <c r="H12" s="5"/>
    </row>
    <row r="13" spans="1:8" x14ac:dyDescent="0.2">
      <c r="A13" s="39" t="s">
        <v>329</v>
      </c>
      <c r="B13" s="40">
        <f>'DCF Valuation'!B34*(1+Assumptions!B45)</f>
        <v>336.63329759146188</v>
      </c>
      <c r="C13" s="5"/>
      <c r="D13" s="5"/>
      <c r="E13" s="44"/>
      <c r="F13" s="5"/>
      <c r="G13" s="5"/>
      <c r="H13" s="5"/>
    </row>
    <row r="14" spans="1:8" x14ac:dyDescent="0.2">
      <c r="A14" s="20" t="s">
        <v>330</v>
      </c>
      <c r="B14" s="111">
        <f>B13/'DCF Valuation'!B35-1</f>
        <v>-0.19849214859175746</v>
      </c>
      <c r="C14" s="5"/>
      <c r="D14" s="5"/>
      <c r="E14" s="44"/>
      <c r="F14" s="5"/>
      <c r="G14" s="5"/>
      <c r="H14" s="5"/>
    </row>
    <row r="15" spans="1:8" x14ac:dyDescent="0.2">
      <c r="A15" s="20" t="s">
        <v>331</v>
      </c>
      <c r="B15" s="111" t="str">
        <f>IF(B14&gt;0.15,"STRONG BUY",IF(B14&gt;0.05,"BUY",IF(B14&gt;-0.05,"HOLD",IF(B14&gt;-0.15,"SELL","STRONG SELL"))))</f>
        <v>STRONG SELL</v>
      </c>
      <c r="C15" s="5"/>
      <c r="D15" s="5"/>
      <c r="E15" s="44"/>
      <c r="F15" s="5"/>
      <c r="G15" s="5"/>
      <c r="H15" s="5"/>
    </row>
    <row r="16" spans="1:8" x14ac:dyDescent="0.2">
      <c r="A16" s="5"/>
      <c r="B16" s="5"/>
      <c r="C16" s="5"/>
      <c r="D16" s="5"/>
      <c r="E16" s="5"/>
      <c r="F16" s="5"/>
      <c r="G16" s="5"/>
      <c r="H16" s="5"/>
    </row>
    <row r="17" spans="1:8" x14ac:dyDescent="0.2">
      <c r="A17" s="5"/>
      <c r="B17" s="5"/>
      <c r="C17" s="5"/>
      <c r="D17" s="5"/>
      <c r="E17" s="5"/>
      <c r="F17" s="5"/>
      <c r="G17" s="5"/>
      <c r="H17" s="5"/>
    </row>
    <row r="18" spans="1:8" x14ac:dyDescent="0.2">
      <c r="A18" s="5"/>
      <c r="B18" s="5"/>
      <c r="C18" s="5"/>
      <c r="D18" s="5"/>
      <c r="E18" s="5"/>
      <c r="F18" s="5"/>
      <c r="G18" s="5"/>
      <c r="H18" s="5"/>
    </row>
    <row r="19" spans="1:8" x14ac:dyDescent="0.2">
      <c r="A19" s="59" t="s">
        <v>137</v>
      </c>
      <c r="B19" s="5"/>
      <c r="C19" s="5"/>
      <c r="D19" s="5"/>
      <c r="E19" s="5"/>
      <c r="F19" s="5"/>
      <c r="G19" s="5"/>
      <c r="H19" s="5"/>
    </row>
    <row r="20" spans="1:8" x14ac:dyDescent="0.2">
      <c r="A20" s="12" t="s">
        <v>138</v>
      </c>
      <c r="B20" s="12" t="s">
        <v>139</v>
      </c>
      <c r="C20" s="5"/>
      <c r="D20" s="5"/>
      <c r="E20" s="5"/>
      <c r="F20" s="5"/>
      <c r="G20" s="5"/>
      <c r="H20" s="5"/>
    </row>
    <row r="21" spans="1:8" x14ac:dyDescent="0.2">
      <c r="A21" s="5" t="s">
        <v>75</v>
      </c>
      <c r="B21" s="13">
        <f>'DCF Valuation'!B9</f>
        <v>96578.519619077473</v>
      </c>
      <c r="C21" s="5"/>
      <c r="D21" s="5"/>
      <c r="E21" s="5"/>
      <c r="F21" s="5"/>
      <c r="G21" s="5"/>
      <c r="H21" s="5"/>
    </row>
    <row r="22" spans="1:8" x14ac:dyDescent="0.2">
      <c r="A22" s="5" t="s">
        <v>76</v>
      </c>
      <c r="B22" s="13">
        <f>'DCF Valuation'!C9</f>
        <v>101030.26678460269</v>
      </c>
      <c r="C22" s="5"/>
      <c r="D22" s="5"/>
      <c r="E22" s="5"/>
      <c r="F22" s="5"/>
      <c r="G22" s="5"/>
      <c r="H22" s="5"/>
    </row>
    <row r="23" spans="1:8" x14ac:dyDescent="0.2">
      <c r="A23" s="5" t="s">
        <v>77</v>
      </c>
      <c r="B23" s="13">
        <f>'DCF Valuation'!D9</f>
        <v>104760.52503365371</v>
      </c>
      <c r="C23" s="5"/>
      <c r="D23" s="5"/>
      <c r="E23" s="5"/>
      <c r="F23" s="5"/>
      <c r="G23" s="5"/>
      <c r="H23" s="5"/>
    </row>
    <row r="24" spans="1:8" x14ac:dyDescent="0.2">
      <c r="A24" s="5" t="s">
        <v>78</v>
      </c>
      <c r="B24" s="13">
        <f>'DCF Valuation'!E9</f>
        <v>107667.61021460942</v>
      </c>
      <c r="C24" s="5"/>
      <c r="D24" s="5"/>
      <c r="E24" s="5"/>
      <c r="F24" s="5"/>
      <c r="G24" s="5"/>
      <c r="H24" s="5"/>
    </row>
    <row r="25" spans="1:8" x14ac:dyDescent="0.2">
      <c r="A25" s="5" t="s">
        <v>79</v>
      </c>
      <c r="B25" s="13">
        <f>'DCF Valuation'!F9</f>
        <v>109667.80289318929</v>
      </c>
      <c r="C25" s="5"/>
      <c r="D25" s="5"/>
      <c r="E25" s="5"/>
      <c r="F25" s="5"/>
      <c r="G25" s="5"/>
      <c r="H25" s="5"/>
    </row>
    <row r="26" spans="1:8" x14ac:dyDescent="0.2">
      <c r="A26" s="5" t="s">
        <v>140</v>
      </c>
      <c r="B26" s="13">
        <f>'DCF Valuation'!B19</f>
        <v>1882630.6163330832</v>
      </c>
      <c r="C26" s="5"/>
      <c r="D26" s="5"/>
      <c r="E26" s="5"/>
      <c r="F26" s="5"/>
      <c r="G26" s="5"/>
      <c r="H26" s="5"/>
    </row>
    <row r="27" spans="1:8" x14ac:dyDescent="0.2">
      <c r="A27" s="5"/>
      <c r="B27" s="5"/>
      <c r="C27" s="5"/>
      <c r="D27" s="5"/>
      <c r="E27" s="5"/>
      <c r="F27" s="5"/>
      <c r="G27" s="5"/>
      <c r="H27" s="5"/>
    </row>
    <row r="28" spans="1:8" x14ac:dyDescent="0.2">
      <c r="A28" s="5"/>
      <c r="B28" s="5"/>
      <c r="C28" s="5"/>
      <c r="D28" s="5"/>
      <c r="E28" s="5"/>
      <c r="F28" s="5"/>
      <c r="G28" s="5"/>
      <c r="H28" s="5"/>
    </row>
    <row r="29" spans="1:8" x14ac:dyDescent="0.2">
      <c r="A29" s="5"/>
      <c r="B29" s="5"/>
      <c r="C29" s="5"/>
      <c r="D29" s="5"/>
      <c r="E29" s="5"/>
      <c r="F29" s="5"/>
      <c r="G29" s="5"/>
      <c r="H29" s="5"/>
    </row>
    <row r="30" spans="1:8" x14ac:dyDescent="0.2">
      <c r="A30" s="5"/>
      <c r="B30" s="5"/>
      <c r="C30" s="5"/>
      <c r="D30" s="5"/>
      <c r="E30" s="5"/>
      <c r="F30" s="5"/>
      <c r="G30" s="5"/>
      <c r="H30" s="5"/>
    </row>
    <row r="31" spans="1:8" x14ac:dyDescent="0.2">
      <c r="A31" s="5"/>
      <c r="B31" s="5"/>
      <c r="C31" s="5"/>
      <c r="D31" s="5"/>
      <c r="E31" s="5"/>
      <c r="F31" s="5"/>
      <c r="G31" s="5"/>
      <c r="H31" s="5"/>
    </row>
    <row r="32" spans="1:8" x14ac:dyDescent="0.2">
      <c r="A32" s="5"/>
      <c r="B32" s="5"/>
      <c r="C32" s="5"/>
      <c r="D32" s="5"/>
      <c r="E32" s="5"/>
      <c r="F32" s="5"/>
      <c r="G32" s="5"/>
      <c r="H32" s="5"/>
    </row>
    <row r="33" spans="1:8" x14ac:dyDescent="0.2">
      <c r="A33" s="5"/>
      <c r="B33" s="5"/>
      <c r="C33" s="5"/>
      <c r="D33" s="5"/>
      <c r="E33" s="5"/>
      <c r="F33" s="5"/>
      <c r="G33" s="5"/>
      <c r="H33" s="5"/>
    </row>
    <row r="34" spans="1:8" x14ac:dyDescent="0.2">
      <c r="A34" s="5"/>
      <c r="B34" s="5"/>
      <c r="C34" s="5"/>
      <c r="D34" s="5"/>
      <c r="E34" s="5"/>
      <c r="F34" s="5"/>
      <c r="G34" s="5"/>
      <c r="H34" s="5"/>
    </row>
    <row r="35" spans="1:8" x14ac:dyDescent="0.2">
      <c r="A35" s="5"/>
      <c r="B35" s="5"/>
      <c r="C35" s="5"/>
      <c r="D35" s="5"/>
      <c r="E35" s="5"/>
      <c r="F35" s="5"/>
      <c r="G35" s="5"/>
      <c r="H35" s="5"/>
    </row>
    <row r="36" spans="1:8" x14ac:dyDescent="0.2">
      <c r="A36" s="5"/>
      <c r="B36" s="5"/>
      <c r="C36" s="5"/>
      <c r="D36" s="5"/>
      <c r="E36" s="5"/>
      <c r="F36" s="5"/>
      <c r="G36" s="5"/>
      <c r="H36" s="5"/>
    </row>
    <row r="37" spans="1:8" x14ac:dyDescent="0.2">
      <c r="A37" s="5"/>
      <c r="B37" s="5"/>
      <c r="C37" s="5"/>
      <c r="D37" s="5"/>
      <c r="E37" s="5"/>
      <c r="F37" s="5"/>
      <c r="G37" s="5"/>
      <c r="H37" s="5"/>
    </row>
    <row r="38" spans="1:8" x14ac:dyDescent="0.2">
      <c r="A38" s="5"/>
      <c r="B38" s="5"/>
      <c r="C38" s="5"/>
      <c r="D38" s="5"/>
      <c r="E38" s="5"/>
      <c r="F38" s="5"/>
      <c r="G38" s="5"/>
      <c r="H38" s="5"/>
    </row>
    <row r="39" spans="1:8" x14ac:dyDescent="0.2">
      <c r="A39" s="5"/>
      <c r="B39" s="5"/>
      <c r="C39" s="5"/>
      <c r="D39" s="5"/>
      <c r="E39" s="5"/>
      <c r="F39" s="5"/>
      <c r="G39" s="5"/>
      <c r="H39" s="5"/>
    </row>
    <row r="40" spans="1:8" x14ac:dyDescent="0.2">
      <c r="A40" s="5"/>
      <c r="B40" s="5"/>
      <c r="C40" s="5"/>
      <c r="D40" s="5"/>
      <c r="E40" s="5"/>
      <c r="F40" s="5"/>
      <c r="G40" s="5"/>
      <c r="H40" s="5"/>
    </row>
    <row r="41" spans="1:8" x14ac:dyDescent="0.2">
      <c r="A41" s="5"/>
      <c r="B41" s="5"/>
      <c r="C41" s="5"/>
      <c r="D41" s="5"/>
      <c r="E41" s="5"/>
      <c r="F41" s="5"/>
      <c r="G41" s="5"/>
      <c r="H41" s="5"/>
    </row>
    <row r="42" spans="1:8" x14ac:dyDescent="0.2">
      <c r="A42" s="5"/>
      <c r="B42" s="5"/>
      <c r="C42" s="5"/>
      <c r="D42" s="5"/>
      <c r="E42" s="5"/>
      <c r="F42" s="5"/>
      <c r="G42" s="5"/>
      <c r="H42" s="5"/>
    </row>
    <row r="43" spans="1:8" x14ac:dyDescent="0.2">
      <c r="A43" s="5"/>
      <c r="B43" s="5"/>
      <c r="C43" s="5"/>
      <c r="D43" s="5"/>
      <c r="E43" s="5"/>
      <c r="F43" s="5"/>
      <c r="G43" s="5"/>
      <c r="H43" s="5"/>
    </row>
    <row r="44" spans="1:8" x14ac:dyDescent="0.2">
      <c r="A44" s="78" t="s">
        <v>226</v>
      </c>
    </row>
    <row r="45" spans="1:8" x14ac:dyDescent="0.2">
      <c r="A45" s="3" t="s">
        <v>177</v>
      </c>
      <c r="B45" s="3" t="s">
        <v>227</v>
      </c>
      <c r="C45" s="3" t="s">
        <v>228</v>
      </c>
      <c r="D45" s="3"/>
      <c r="E45" t="s">
        <v>233</v>
      </c>
      <c r="F45" t="s">
        <v>234</v>
      </c>
      <c r="G45" t="s">
        <v>235</v>
      </c>
    </row>
    <row r="46" spans="1:8" x14ac:dyDescent="0.2">
      <c r="A46" s="72" t="s">
        <v>229</v>
      </c>
      <c r="B46" s="2">
        <f>Sensitivity!$B$14</f>
        <v>215.59408280380066</v>
      </c>
      <c r="C46" s="2">
        <f>Sensitivity!$H$6</f>
        <v>747.4640538880443</v>
      </c>
      <c r="E46" s="72" t="str">
        <f t="shared" ref="E46:F49" si="0">A46</f>
        <v>DCF (Sensitivity Range)</v>
      </c>
      <c r="F46" s="2">
        <f t="shared" si="0"/>
        <v>215.59408280380066</v>
      </c>
      <c r="G46" s="2">
        <f>C46-B46</f>
        <v>531.86997108424362</v>
      </c>
    </row>
    <row r="47" spans="1:8" x14ac:dyDescent="0.2">
      <c r="A47" s="72" t="s">
        <v>230</v>
      </c>
      <c r="B47" s="2">
        <f>Comps!$D$25</f>
        <v>325.8052702620912</v>
      </c>
      <c r="C47" s="2">
        <f>Comps!$D$27</f>
        <v>417.52000160254869</v>
      </c>
      <c r="E47" s="72" t="str">
        <f t="shared" si="0"/>
        <v>EV/EBITDA Comps (25th–75th)</v>
      </c>
      <c r="F47" s="2">
        <f t="shared" si="0"/>
        <v>325.8052702620912</v>
      </c>
      <c r="G47" s="2">
        <f>C47-B47</f>
        <v>91.71473134045749</v>
      </c>
    </row>
    <row r="48" spans="1:8" x14ac:dyDescent="0.2">
      <c r="A48" s="72" t="s">
        <v>231</v>
      </c>
      <c r="B48" s="2">
        <f>Comps!$D$28</f>
        <v>377.68883935919905</v>
      </c>
      <c r="C48" s="2">
        <f>Comps!$D$30</f>
        <v>573.31966802537966</v>
      </c>
      <c r="E48" s="72" t="str">
        <f t="shared" si="0"/>
        <v>P/E Comps (25th–75th)</v>
      </c>
      <c r="F48" s="2">
        <f t="shared" si="0"/>
        <v>377.68883935919905</v>
      </c>
      <c r="G48" s="2">
        <f>C48-B48</f>
        <v>195.63082866618061</v>
      </c>
    </row>
    <row r="49" spans="1:7" x14ac:dyDescent="0.2">
      <c r="A49" s="72" t="s">
        <v>232</v>
      </c>
      <c r="B49" s="2">
        <f>'DCF Valuation'!$B$34</f>
        <v>326.82844426355524</v>
      </c>
      <c r="C49" s="2">
        <f>'DCF Valuation'!$B$34</f>
        <v>326.82844426355524</v>
      </c>
      <c r="E49" s="72" t="str">
        <f t="shared" si="0"/>
        <v>DCF Base Case</v>
      </c>
      <c r="F49" s="2">
        <f t="shared" si="0"/>
        <v>326.82844426355524</v>
      </c>
      <c r="G49" s="2">
        <v>0</v>
      </c>
    </row>
    <row r="59" spans="1:7" x14ac:dyDescent="0.2">
      <c r="A59" s="75" t="s">
        <v>236</v>
      </c>
      <c r="B59" s="1"/>
      <c r="C59" s="1"/>
      <c r="D59" s="1"/>
      <c r="E59" s="1"/>
      <c r="F59" s="1"/>
    </row>
  </sheetData>
  <mergeCells count="2">
    <mergeCell ref="A4:F4"/>
    <mergeCell ref="A59:F5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E352C-B792-664C-A696-A90D6C5B060C}">
  <sheetPr>
    <tabColor rgb="FFC00000"/>
  </sheetPr>
  <dimension ref="A1:E50"/>
  <sheetViews>
    <sheetView showGridLines="0" workbookViewId="0">
      <selection activeCell="G49" sqref="G49"/>
    </sheetView>
  </sheetViews>
  <sheetFormatPr baseColWidth="10" defaultRowHeight="16" x14ac:dyDescent="0.2"/>
  <cols>
    <col min="1" max="1" width="30" customWidth="1"/>
    <col min="2" max="2" width="13.33203125" customWidth="1"/>
    <col min="3" max="3" width="15" customWidth="1"/>
    <col min="4" max="4" width="58.33203125" customWidth="1"/>
    <col min="5" max="5" width="30" customWidth="1"/>
  </cols>
  <sheetData>
    <row r="1" spans="1:5" ht="29" x14ac:dyDescent="0.35">
      <c r="A1" s="79" t="s">
        <v>237</v>
      </c>
      <c r="B1" s="5"/>
      <c r="C1" s="5"/>
      <c r="D1" s="5"/>
      <c r="E1" s="5"/>
    </row>
    <row r="2" spans="1:5" x14ac:dyDescent="0.2">
      <c r="A2" s="80" t="s">
        <v>238</v>
      </c>
      <c r="B2" s="5"/>
      <c r="C2" s="5"/>
      <c r="D2" s="5"/>
      <c r="E2" s="5"/>
    </row>
    <row r="3" spans="1:5" x14ac:dyDescent="0.2">
      <c r="A3" s="16" t="s">
        <v>239</v>
      </c>
      <c r="B3" s="5"/>
      <c r="C3" s="5"/>
      <c r="D3" s="5"/>
      <c r="E3" s="5"/>
    </row>
    <row r="4" spans="1:5" x14ac:dyDescent="0.2">
      <c r="A4" s="60"/>
      <c r="B4" s="60"/>
      <c r="C4" s="60"/>
      <c r="D4" s="60"/>
      <c r="E4" s="60"/>
    </row>
    <row r="5" spans="1:5" x14ac:dyDescent="0.2">
      <c r="A5" s="5"/>
      <c r="B5" s="5"/>
      <c r="C5" s="5"/>
      <c r="D5" s="5"/>
      <c r="E5" s="5"/>
    </row>
    <row r="6" spans="1:5" ht="17" x14ac:dyDescent="0.2">
      <c r="A6" s="81" t="s">
        <v>240</v>
      </c>
      <c r="B6" s="82"/>
      <c r="C6" s="82"/>
      <c r="D6" s="82"/>
      <c r="E6" s="82"/>
    </row>
    <row r="7" spans="1:5" ht="55" customHeight="1" x14ac:dyDescent="0.2">
      <c r="A7" s="83" t="s">
        <v>241</v>
      </c>
      <c r="B7" s="76"/>
      <c r="C7" s="76"/>
      <c r="D7" s="76"/>
      <c r="E7" s="76"/>
    </row>
    <row r="8" spans="1:5" ht="55" customHeight="1" x14ac:dyDescent="0.2">
      <c r="A8" s="84"/>
      <c r="B8" s="76"/>
      <c r="C8" s="76"/>
      <c r="D8" s="76"/>
      <c r="E8" s="76"/>
    </row>
    <row r="9" spans="1:5" ht="55" customHeight="1" x14ac:dyDescent="0.2">
      <c r="A9" s="83" t="s">
        <v>282</v>
      </c>
      <c r="B9" s="76"/>
      <c r="C9" s="76"/>
      <c r="D9" s="76"/>
      <c r="E9" s="76"/>
    </row>
    <row r="10" spans="1:5" ht="55" customHeight="1" x14ac:dyDescent="0.2">
      <c r="A10" s="84"/>
      <c r="B10" s="76"/>
      <c r="C10" s="76"/>
      <c r="D10" s="76"/>
      <c r="E10" s="76"/>
    </row>
    <row r="11" spans="1:5" ht="55" customHeight="1" x14ac:dyDescent="0.2">
      <c r="A11" s="83" t="s">
        <v>283</v>
      </c>
      <c r="B11" s="76"/>
      <c r="C11" s="76"/>
      <c r="D11" s="76"/>
      <c r="E11" s="76"/>
    </row>
    <row r="12" spans="1:5" x14ac:dyDescent="0.2">
      <c r="A12" s="5"/>
      <c r="B12" s="5"/>
      <c r="C12" s="5"/>
      <c r="D12" s="5"/>
      <c r="E12" s="5"/>
    </row>
    <row r="13" spans="1:5" ht="17" x14ac:dyDescent="0.2">
      <c r="A13" s="81" t="s">
        <v>242</v>
      </c>
      <c r="B13" s="82"/>
      <c r="C13" s="82"/>
      <c r="D13" s="82"/>
      <c r="E13" s="82"/>
    </row>
    <row r="14" spans="1:5" x14ac:dyDescent="0.2">
      <c r="A14" s="34" t="s">
        <v>131</v>
      </c>
      <c r="B14" s="34" t="s">
        <v>31</v>
      </c>
      <c r="C14" s="34" t="s">
        <v>243</v>
      </c>
      <c r="D14" s="5"/>
      <c r="E14" s="5"/>
    </row>
    <row r="15" spans="1:5" x14ac:dyDescent="0.2">
      <c r="A15" s="85" t="s">
        <v>244</v>
      </c>
      <c r="B15" s="45">
        <f>'DCF Valuation'!B34</f>
        <v>326.82844426355524</v>
      </c>
      <c r="C15" s="86" t="s">
        <v>245</v>
      </c>
      <c r="D15" s="5"/>
      <c r="E15" s="5"/>
    </row>
    <row r="16" spans="1:5" x14ac:dyDescent="0.2">
      <c r="A16" s="5" t="s">
        <v>111</v>
      </c>
      <c r="B16" s="13">
        <f>Assumptions!$B$52</f>
        <v>420</v>
      </c>
      <c r="C16" s="6" t="s">
        <v>246</v>
      </c>
      <c r="D16" s="5"/>
      <c r="E16" s="5"/>
    </row>
    <row r="17" spans="1:5" x14ac:dyDescent="0.2">
      <c r="A17" s="5" t="s">
        <v>247</v>
      </c>
      <c r="B17" s="13">
        <f>'DCF Valuation'!B36</f>
        <v>-0.22183703746772565</v>
      </c>
      <c r="C17" s="6" t="s">
        <v>248</v>
      </c>
      <c r="D17" s="5"/>
      <c r="E17" s="5"/>
    </row>
    <row r="18" spans="1:5" ht="17" x14ac:dyDescent="0.2">
      <c r="A18" s="10" t="s">
        <v>113</v>
      </c>
      <c r="B18" s="87" t="str">
        <f>'DCF Valuation'!B37</f>
        <v>SELL</v>
      </c>
      <c r="C18" s="88" t="s">
        <v>249</v>
      </c>
      <c r="D18" s="5"/>
      <c r="E18" s="5"/>
    </row>
    <row r="19" spans="1:5" x14ac:dyDescent="0.2">
      <c r="A19" s="5" t="s">
        <v>105</v>
      </c>
      <c r="B19" s="13">
        <f>'DCF Valuation'!B25</f>
        <v>2402335.3408782156</v>
      </c>
      <c r="C19" s="6" t="s">
        <v>250</v>
      </c>
      <c r="D19" s="5"/>
      <c r="E19" s="5"/>
    </row>
    <row r="20" spans="1:5" x14ac:dyDescent="0.2">
      <c r="A20" s="5" t="s">
        <v>251</v>
      </c>
      <c r="B20" s="13">
        <f>Projections!C6</f>
        <v>281890.3</v>
      </c>
      <c r="C20" s="6" t="s">
        <v>252</v>
      </c>
      <c r="D20" s="5"/>
      <c r="E20" s="5"/>
    </row>
    <row r="21" spans="1:5" x14ac:dyDescent="0.2">
      <c r="A21" s="5" t="s">
        <v>253</v>
      </c>
      <c r="B21" s="13">
        <f>Projections!C17+Projections!C27</f>
        <v>138126.247</v>
      </c>
      <c r="C21" s="6" t="s">
        <v>254</v>
      </c>
      <c r="D21" s="5"/>
      <c r="E21" s="5"/>
    </row>
    <row r="22" spans="1:5" x14ac:dyDescent="0.2">
      <c r="A22" s="5" t="s">
        <v>255</v>
      </c>
      <c r="B22" s="13">
        <f>Projections!C18</f>
        <v>0.45</v>
      </c>
      <c r="C22" s="6" t="s">
        <v>252</v>
      </c>
      <c r="D22" s="5"/>
      <c r="E22" s="5"/>
    </row>
    <row r="23" spans="1:5" x14ac:dyDescent="0.2">
      <c r="A23" s="5" t="s">
        <v>256</v>
      </c>
      <c r="B23" s="13">
        <f>Comps!K14</f>
        <v>20.778688524590162</v>
      </c>
      <c r="C23" s="6" t="s">
        <v>257</v>
      </c>
      <c r="D23" s="5"/>
      <c r="E23" s="5"/>
    </row>
    <row r="24" spans="1:5" x14ac:dyDescent="0.2">
      <c r="A24" s="5" t="s">
        <v>258</v>
      </c>
      <c r="B24" s="13">
        <f>Comps!L14</f>
        <v>32.538192370060592</v>
      </c>
      <c r="C24" s="6" t="s">
        <v>257</v>
      </c>
      <c r="D24" s="5"/>
      <c r="E24" s="5"/>
    </row>
    <row r="25" spans="1:5" x14ac:dyDescent="0.2">
      <c r="A25" s="5"/>
      <c r="B25" s="5"/>
      <c r="C25" s="5"/>
      <c r="D25" s="5"/>
      <c r="E25" s="5"/>
    </row>
    <row r="26" spans="1:5" ht="17" x14ac:dyDescent="0.2">
      <c r="A26" s="81" t="s">
        <v>259</v>
      </c>
      <c r="B26" s="82"/>
      <c r="C26" s="82"/>
      <c r="D26" s="82"/>
      <c r="E26" s="82"/>
    </row>
    <row r="27" spans="1:5" x14ac:dyDescent="0.2">
      <c r="A27" s="34"/>
      <c r="B27" s="89" t="s">
        <v>260</v>
      </c>
      <c r="C27" s="90" t="s">
        <v>261</v>
      </c>
      <c r="D27" s="91" t="s">
        <v>262</v>
      </c>
      <c r="E27" s="34" t="s">
        <v>263</v>
      </c>
    </row>
    <row r="28" spans="1:5" x14ac:dyDescent="0.2">
      <c r="A28" s="5" t="s">
        <v>61</v>
      </c>
      <c r="B28" s="92">
        <v>0.11</v>
      </c>
      <c r="C28" s="92">
        <v>0.09</v>
      </c>
      <c r="D28" s="92">
        <v>7.4999999999999997E-2</v>
      </c>
      <c r="E28" s="5" t="s">
        <v>184</v>
      </c>
    </row>
    <row r="29" spans="1:5" x14ac:dyDescent="0.2">
      <c r="A29" s="5" t="s">
        <v>63</v>
      </c>
      <c r="B29" s="92">
        <v>1.4999999999999999E-2</v>
      </c>
      <c r="C29" s="92">
        <v>0.03</v>
      </c>
      <c r="D29" s="92">
        <v>3.5000000000000003E-2</v>
      </c>
      <c r="E29" s="5" t="s">
        <v>184</v>
      </c>
    </row>
    <row r="30" spans="1:5" x14ac:dyDescent="0.2">
      <c r="A30" s="5" t="s">
        <v>132</v>
      </c>
      <c r="B30" s="10">
        <f>Sensitivity!$B$14</f>
        <v>215.59408280380066</v>
      </c>
      <c r="C30" s="10">
        <f>'DCF Valuation'!$B$34</f>
        <v>326.82844426355524</v>
      </c>
      <c r="D30" s="10">
        <f>Sensitivity!$C$7</f>
        <v>367.33485581929961</v>
      </c>
      <c r="E30" s="10">
        <f>Comps!$D$26</f>
        <v>389.78226964786086</v>
      </c>
    </row>
    <row r="31" spans="1:5" x14ac:dyDescent="0.2">
      <c r="A31" s="5" t="s">
        <v>264</v>
      </c>
      <c r="B31" s="5">
        <f>B30/Assumptions!$B$52-1</f>
        <v>-0.48668075522904608</v>
      </c>
      <c r="C31" s="5">
        <f>C30/Assumptions!$B$52-1</f>
        <v>-0.22183703746772565</v>
      </c>
      <c r="D31" s="5">
        <f>D30/Assumptions!$B$52-1</f>
        <v>-0.12539320043023905</v>
      </c>
      <c r="E31" s="5">
        <f>E30/Assumptions!$B$52-1</f>
        <v>-7.1946977028902737E-2</v>
      </c>
    </row>
    <row r="32" spans="1:5" ht="55" customHeight="1" x14ac:dyDescent="0.2">
      <c r="A32" s="93" t="s">
        <v>265</v>
      </c>
      <c r="B32" s="93" t="s">
        <v>266</v>
      </c>
      <c r="C32" s="93" t="s">
        <v>267</v>
      </c>
      <c r="D32" s="93" t="s">
        <v>268</v>
      </c>
      <c r="E32" s="93" t="s">
        <v>269</v>
      </c>
    </row>
    <row r="33" spans="1:5" x14ac:dyDescent="0.2">
      <c r="A33" s="5"/>
      <c r="B33" s="5"/>
      <c r="C33" s="5"/>
      <c r="D33" s="5"/>
      <c r="E33" s="5"/>
    </row>
    <row r="34" spans="1:5" ht="17" x14ac:dyDescent="0.2">
      <c r="A34" s="81" t="s">
        <v>270</v>
      </c>
      <c r="B34" s="82"/>
      <c r="C34" s="82"/>
      <c r="D34" s="82"/>
      <c r="E34" s="82"/>
    </row>
    <row r="35" spans="1:5" ht="35" customHeight="1" x14ac:dyDescent="0.2">
      <c r="A35" s="94" t="s">
        <v>271</v>
      </c>
      <c r="B35" s="95"/>
      <c r="C35" s="96" t="s">
        <v>276</v>
      </c>
      <c r="D35" s="97"/>
      <c r="E35" s="97"/>
    </row>
    <row r="36" spans="1:5" ht="35" customHeight="1" x14ac:dyDescent="0.2">
      <c r="A36" s="98" t="s">
        <v>272</v>
      </c>
      <c r="B36" s="99"/>
      <c r="C36" s="100" t="s">
        <v>277</v>
      </c>
      <c r="D36" s="101"/>
      <c r="E36" s="101"/>
    </row>
    <row r="37" spans="1:5" ht="35" customHeight="1" x14ac:dyDescent="0.2">
      <c r="A37" s="98" t="s">
        <v>273</v>
      </c>
      <c r="B37" s="99"/>
      <c r="C37" s="100" t="s">
        <v>278</v>
      </c>
      <c r="D37" s="101"/>
      <c r="E37" s="101"/>
    </row>
    <row r="38" spans="1:5" ht="35" customHeight="1" x14ac:dyDescent="0.2">
      <c r="A38" s="98" t="s">
        <v>274</v>
      </c>
      <c r="B38" s="99"/>
      <c r="C38" s="100" t="s">
        <v>279</v>
      </c>
      <c r="D38" s="101"/>
      <c r="E38" s="101"/>
    </row>
    <row r="39" spans="1:5" ht="35" customHeight="1" x14ac:dyDescent="0.2">
      <c r="A39" s="98" t="s">
        <v>275</v>
      </c>
      <c r="B39" s="99"/>
      <c r="C39" s="100" t="s">
        <v>280</v>
      </c>
      <c r="D39" s="101"/>
      <c r="E39" s="101"/>
    </row>
    <row r="40" spans="1:5" ht="35" customHeight="1" x14ac:dyDescent="0.2">
      <c r="A40" s="5"/>
      <c r="B40" s="5"/>
      <c r="C40" s="5"/>
      <c r="D40" s="5"/>
      <c r="E40" s="5"/>
    </row>
    <row r="41" spans="1:5" ht="35" customHeight="1" x14ac:dyDescent="0.2">
      <c r="A41" s="5"/>
      <c r="B41" s="5"/>
      <c r="C41" s="5"/>
      <c r="D41" s="5"/>
      <c r="E41" s="5"/>
    </row>
    <row r="42" spans="1:5" x14ac:dyDescent="0.2">
      <c r="A42" s="102" t="s">
        <v>281</v>
      </c>
      <c r="B42" s="76"/>
      <c r="C42" s="76"/>
      <c r="D42" s="76"/>
      <c r="E42" s="76"/>
    </row>
    <row r="43" spans="1:5" x14ac:dyDescent="0.2">
      <c r="A43" s="5"/>
      <c r="B43" s="5"/>
      <c r="C43" s="5"/>
      <c r="D43" s="5"/>
      <c r="E43" s="5"/>
    </row>
    <row r="44" spans="1:5" x14ac:dyDescent="0.2">
      <c r="A44" s="29" t="s">
        <v>332</v>
      </c>
      <c r="B44" s="33"/>
      <c r="C44" s="33"/>
      <c r="D44" s="33"/>
      <c r="E44" s="33"/>
    </row>
    <row r="45" spans="1:5" x14ac:dyDescent="0.2">
      <c r="A45" s="23" t="s">
        <v>333</v>
      </c>
      <c r="B45" s="23" t="s">
        <v>334</v>
      </c>
      <c r="C45" s="23" t="s">
        <v>335</v>
      </c>
      <c r="D45" s="23" t="s">
        <v>336</v>
      </c>
      <c r="E45" s="23"/>
    </row>
    <row r="46" spans="1:5" ht="42" customHeight="1" x14ac:dyDescent="0.2">
      <c r="A46" s="112" t="s">
        <v>337</v>
      </c>
      <c r="B46" s="113" t="s">
        <v>338</v>
      </c>
      <c r="C46" s="114" t="s">
        <v>339</v>
      </c>
      <c r="D46" s="115" t="s">
        <v>340</v>
      </c>
      <c r="E46" s="115"/>
    </row>
    <row r="47" spans="1:5" ht="42" customHeight="1" x14ac:dyDescent="0.2">
      <c r="A47" s="20" t="s">
        <v>341</v>
      </c>
      <c r="B47" s="116" t="s">
        <v>338</v>
      </c>
      <c r="C47" s="16" t="s">
        <v>339</v>
      </c>
      <c r="D47" s="115" t="s">
        <v>342</v>
      </c>
      <c r="E47" s="115"/>
    </row>
    <row r="48" spans="1:5" ht="42" customHeight="1" x14ac:dyDescent="0.2">
      <c r="A48" s="112" t="s">
        <v>343</v>
      </c>
      <c r="B48" s="117" t="s">
        <v>344</v>
      </c>
      <c r="C48" s="114" t="s">
        <v>345</v>
      </c>
      <c r="D48" s="115" t="s">
        <v>346</v>
      </c>
      <c r="E48" s="115"/>
    </row>
    <row r="49" spans="1:5" ht="42" customHeight="1" x14ac:dyDescent="0.2">
      <c r="A49" s="20" t="s">
        <v>347</v>
      </c>
      <c r="B49" s="118" t="s">
        <v>344</v>
      </c>
      <c r="C49" s="16" t="s">
        <v>348</v>
      </c>
      <c r="D49" s="115" t="s">
        <v>349</v>
      </c>
      <c r="E49" s="115"/>
    </row>
    <row r="50" spans="1:5" ht="42" customHeight="1" x14ac:dyDescent="0.2">
      <c r="A50" s="112" t="s">
        <v>350</v>
      </c>
      <c r="B50" s="117" t="s">
        <v>344</v>
      </c>
      <c r="C50" s="114" t="s">
        <v>345</v>
      </c>
      <c r="D50" s="115" t="s">
        <v>351</v>
      </c>
      <c r="E50" s="115"/>
    </row>
  </sheetData>
  <mergeCells count="22">
    <mergeCell ref="D50:E50"/>
    <mergeCell ref="A42:E42"/>
    <mergeCell ref="A44:E44"/>
    <mergeCell ref="D46:E46"/>
    <mergeCell ref="D47:E47"/>
    <mergeCell ref="D48:E48"/>
    <mergeCell ref="D49:E49"/>
    <mergeCell ref="A36:B36"/>
    <mergeCell ref="A37:B37"/>
    <mergeCell ref="A38:B38"/>
    <mergeCell ref="A39:B39"/>
    <mergeCell ref="C35:E35"/>
    <mergeCell ref="C36:E36"/>
    <mergeCell ref="C37:E37"/>
    <mergeCell ref="C38:E38"/>
    <mergeCell ref="C39:E39"/>
    <mergeCell ref="A7:E7"/>
    <mergeCell ref="A8:E8"/>
    <mergeCell ref="A9:E9"/>
    <mergeCell ref="A10:E10"/>
    <mergeCell ref="A11:E11"/>
    <mergeCell ref="A35:B3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AB30E-7D3A-F44C-8188-16B14C811C70}">
  <sheetPr>
    <tabColor rgb="FF7030A0"/>
  </sheetPr>
  <dimension ref="A1:H35"/>
  <sheetViews>
    <sheetView workbookViewId="0">
      <pane ySplit="2" topLeftCell="A3" activePane="bottomLeft" state="frozen"/>
      <selection pane="bottomLeft" activeCell="H25" sqref="H25"/>
    </sheetView>
  </sheetViews>
  <sheetFormatPr baseColWidth="10" defaultRowHeight="16" x14ac:dyDescent="0.2"/>
  <cols>
    <col min="1" max="1" width="36.6640625" customWidth="1"/>
    <col min="2" max="7" width="15" customWidth="1"/>
    <col min="8" max="8" width="23.33203125" customWidth="1"/>
  </cols>
  <sheetData>
    <row r="1" spans="1:8" ht="19" x14ac:dyDescent="0.25">
      <c r="A1" s="4" t="s">
        <v>305</v>
      </c>
      <c r="B1" s="15"/>
      <c r="C1" s="15"/>
      <c r="D1" s="15"/>
      <c r="E1" s="15"/>
      <c r="F1" s="15"/>
      <c r="G1" s="15"/>
      <c r="H1" s="15"/>
    </row>
    <row r="2" spans="1:8" x14ac:dyDescent="0.2">
      <c r="A2" s="16" t="s">
        <v>306</v>
      </c>
      <c r="B2" s="15"/>
      <c r="C2" s="15"/>
      <c r="D2" s="15"/>
      <c r="E2" s="15"/>
      <c r="F2" s="15"/>
      <c r="G2" s="15"/>
      <c r="H2" s="15"/>
    </row>
    <row r="3" spans="1:8" x14ac:dyDescent="0.2">
      <c r="A3" s="15"/>
      <c r="B3" s="15"/>
      <c r="C3" s="15"/>
      <c r="D3" s="15"/>
      <c r="E3" s="15"/>
      <c r="F3" s="15"/>
      <c r="G3" s="15"/>
      <c r="H3" s="15"/>
    </row>
    <row r="4" spans="1:8" x14ac:dyDescent="0.2">
      <c r="A4" s="18" t="s">
        <v>307</v>
      </c>
      <c r="B4" s="19"/>
      <c r="C4" s="19"/>
      <c r="D4" s="19"/>
      <c r="E4" s="19"/>
      <c r="F4" s="19"/>
      <c r="G4" s="19"/>
      <c r="H4" s="19"/>
    </row>
    <row r="5" spans="1:8" x14ac:dyDescent="0.2">
      <c r="A5" s="23" t="s">
        <v>308</v>
      </c>
      <c r="B5" s="23" t="s">
        <v>75</v>
      </c>
      <c r="C5" s="23" t="s">
        <v>76</v>
      </c>
      <c r="D5" s="23" t="s">
        <v>77</v>
      </c>
      <c r="E5" s="23" t="s">
        <v>78</v>
      </c>
      <c r="F5" s="23" t="s">
        <v>79</v>
      </c>
      <c r="G5" s="23" t="s">
        <v>309</v>
      </c>
      <c r="H5" s="23" t="s">
        <v>310</v>
      </c>
    </row>
    <row r="6" spans="1:8" x14ac:dyDescent="0.2">
      <c r="A6" s="15" t="s">
        <v>311</v>
      </c>
      <c r="B6" s="22">
        <v>0.32</v>
      </c>
      <c r="C6" s="22">
        <v>0.3</v>
      </c>
      <c r="D6" s="22">
        <v>0.27</v>
      </c>
      <c r="E6" s="22">
        <v>0.24</v>
      </c>
      <c r="F6" s="22">
        <v>0.21</v>
      </c>
      <c r="G6" s="25">
        <f>((1+B6)*(1+C6)*(1+D6)*(1+E6)*(1+F6))^(1/5)-1</f>
        <v>0.26737638886856718</v>
      </c>
      <c r="H6" s="16" t="s">
        <v>312</v>
      </c>
    </row>
    <row r="7" spans="1:8" x14ac:dyDescent="0.2">
      <c r="A7" s="15" t="s">
        <v>313</v>
      </c>
      <c r="B7" s="22">
        <v>0.12</v>
      </c>
      <c r="C7" s="22">
        <v>0.11</v>
      </c>
      <c r="D7" s="22">
        <v>0.1</v>
      </c>
      <c r="E7" s="22">
        <v>0.09</v>
      </c>
      <c r="F7" s="22">
        <v>0.08</v>
      </c>
      <c r="G7" s="25">
        <f>((1+B7)*(1+C7)*(1+D7)*(1+E7)*(1+F7))^(1/5)-1</f>
        <v>9.9909081891574436E-2</v>
      </c>
      <c r="H7" s="16" t="s">
        <v>314</v>
      </c>
    </row>
    <row r="8" spans="1:8" x14ac:dyDescent="0.2">
      <c r="A8" s="15" t="s">
        <v>315</v>
      </c>
      <c r="B8" s="22">
        <v>0.08</v>
      </c>
      <c r="C8" s="22">
        <v>7.0000000000000007E-2</v>
      </c>
      <c r="D8" s="22">
        <v>0.06</v>
      </c>
      <c r="E8" s="22">
        <v>0.06</v>
      </c>
      <c r="F8" s="22">
        <v>0.05</v>
      </c>
      <c r="G8" s="25">
        <f>((1+B8)*(1+C8)*(1+D8)*(1+E8)*(1+F8))^(1/5)-1</f>
        <v>6.3951209362220096E-2</v>
      </c>
      <c r="H8" s="16" t="s">
        <v>316</v>
      </c>
    </row>
    <row r="9" spans="1:8" x14ac:dyDescent="0.2">
      <c r="A9" s="15"/>
      <c r="B9" s="15"/>
      <c r="C9" s="15"/>
      <c r="D9" s="15"/>
      <c r="E9" s="15"/>
      <c r="F9" s="15"/>
      <c r="G9" s="15"/>
      <c r="H9" s="15"/>
    </row>
    <row r="10" spans="1:8" x14ac:dyDescent="0.2">
      <c r="A10" s="15"/>
      <c r="B10" s="15"/>
      <c r="C10" s="15"/>
      <c r="D10" s="15"/>
      <c r="E10" s="15"/>
      <c r="F10" s="15"/>
      <c r="G10" s="15"/>
      <c r="H10" s="15"/>
    </row>
    <row r="11" spans="1:8" x14ac:dyDescent="0.2">
      <c r="A11" s="32" t="s">
        <v>317</v>
      </c>
      <c r="B11" s="33"/>
      <c r="C11" s="33"/>
      <c r="D11" s="33"/>
      <c r="E11" s="33"/>
      <c r="F11" s="33"/>
      <c r="G11" s="33"/>
      <c r="H11" s="33"/>
    </row>
    <row r="12" spans="1:8" x14ac:dyDescent="0.2">
      <c r="A12" s="46" t="s">
        <v>308</v>
      </c>
      <c r="B12" s="46" t="s">
        <v>74</v>
      </c>
      <c r="C12" s="46" t="s">
        <v>75</v>
      </c>
      <c r="D12" s="46" t="s">
        <v>76</v>
      </c>
      <c r="E12" s="46" t="s">
        <v>77</v>
      </c>
      <c r="F12" s="46" t="s">
        <v>78</v>
      </c>
      <c r="G12" s="46" t="s">
        <v>79</v>
      </c>
      <c r="H12" s="46" t="s">
        <v>318</v>
      </c>
    </row>
    <row r="13" spans="1:8" x14ac:dyDescent="0.2">
      <c r="A13" s="15" t="s">
        <v>311</v>
      </c>
      <c r="B13" s="22">
        <v>105360</v>
      </c>
      <c r="C13" s="25">
        <f>B13*(1+B6)</f>
        <v>139075.20000000001</v>
      </c>
      <c r="D13" s="25">
        <f>C13*(1+C6)</f>
        <v>180797.76</v>
      </c>
      <c r="E13" s="25">
        <f>D13*(1+D6)</f>
        <v>229613.15520000001</v>
      </c>
      <c r="F13" s="25">
        <f>E13*(1+E6)</f>
        <v>284720.31244800001</v>
      </c>
      <c r="G13" s="25">
        <f>F13*(1+F6)</f>
        <v>344511.57806208002</v>
      </c>
      <c r="H13" s="25">
        <f>(G13/B13)^(1/5)-1</f>
        <v>0.26737638886856718</v>
      </c>
    </row>
    <row r="14" spans="1:8" x14ac:dyDescent="0.2">
      <c r="A14" s="15" t="s">
        <v>313</v>
      </c>
      <c r="B14" s="22">
        <v>77450</v>
      </c>
      <c r="C14" s="25">
        <f>B14*(1+B7)</f>
        <v>86744.000000000015</v>
      </c>
      <c r="D14" s="25">
        <f>C14*(1+C7)</f>
        <v>96285.840000000026</v>
      </c>
      <c r="E14" s="25">
        <f>D14*(1+D7)</f>
        <v>105914.42400000004</v>
      </c>
      <c r="F14" s="25">
        <f>E14*(1+E7)</f>
        <v>115446.72216000005</v>
      </c>
      <c r="G14" s="25">
        <f>F14*(1+F7)</f>
        <v>124682.45993280006</v>
      </c>
      <c r="H14" s="25">
        <f>(G14/B14)^(1/5)-1</f>
        <v>9.9909081891574436E-2</v>
      </c>
    </row>
    <row r="15" spans="1:8" x14ac:dyDescent="0.2">
      <c r="A15" s="15" t="s">
        <v>315</v>
      </c>
      <c r="B15" s="22">
        <v>62312</v>
      </c>
      <c r="C15" s="25">
        <f>B15*(1+B8)</f>
        <v>67296.960000000006</v>
      </c>
      <c r="D15" s="25">
        <f>C15*(1+C8)</f>
        <v>72007.747200000013</v>
      </c>
      <c r="E15" s="25">
        <f>D15*(1+D8)</f>
        <v>76328.21203200001</v>
      </c>
      <c r="F15" s="25">
        <f>E15*(1+E8)</f>
        <v>80907.904753920011</v>
      </c>
      <c r="G15" s="25">
        <f>F15*(1+F8)</f>
        <v>84953.299991616019</v>
      </c>
      <c r="H15" s="25">
        <f>(G15/B15)^(1/5)-1</f>
        <v>6.3951209362220096E-2</v>
      </c>
    </row>
    <row r="16" spans="1:8" x14ac:dyDescent="0.2">
      <c r="A16" s="39" t="s">
        <v>319</v>
      </c>
      <c r="B16" s="39">
        <f>SUM(B13:B15)</f>
        <v>245122</v>
      </c>
      <c r="C16" s="39">
        <f>SUM(C13:C15)</f>
        <v>293116.16000000003</v>
      </c>
      <c r="D16" s="39">
        <f>SUM(D13:D15)</f>
        <v>349091.34720000008</v>
      </c>
      <c r="E16" s="39">
        <f>SUM(E13:E15)</f>
        <v>411855.79123200005</v>
      </c>
      <c r="F16" s="39">
        <f>SUM(F13:F15)</f>
        <v>481074.93936192011</v>
      </c>
      <c r="G16" s="39">
        <f>SUM(G13:G15)</f>
        <v>554147.33798649616</v>
      </c>
      <c r="H16" s="39">
        <f>(G16/B16)^(1/5)-1</f>
        <v>0.17719549645543253</v>
      </c>
    </row>
    <row r="17" spans="1:8" x14ac:dyDescent="0.2">
      <c r="A17" s="15"/>
      <c r="B17" s="15"/>
      <c r="C17" s="15"/>
      <c r="D17" s="15"/>
      <c r="E17" s="15"/>
      <c r="F17" s="15"/>
      <c r="G17" s="15"/>
      <c r="H17" s="15"/>
    </row>
    <row r="18" spans="1:8" x14ac:dyDescent="0.2">
      <c r="A18" s="15"/>
      <c r="B18" s="15"/>
      <c r="C18" s="15"/>
      <c r="D18" s="15"/>
      <c r="E18" s="15"/>
      <c r="F18" s="15"/>
      <c r="G18" s="15"/>
      <c r="H18" s="15"/>
    </row>
    <row r="19" spans="1:8" x14ac:dyDescent="0.2">
      <c r="A19" s="18" t="s">
        <v>320</v>
      </c>
      <c r="B19" s="19"/>
      <c r="C19" s="19"/>
      <c r="D19" s="19"/>
      <c r="E19" s="19"/>
      <c r="F19" s="19"/>
      <c r="G19" s="19"/>
      <c r="H19" s="19"/>
    </row>
    <row r="20" spans="1:8" x14ac:dyDescent="0.2">
      <c r="A20" s="23" t="s">
        <v>308</v>
      </c>
      <c r="B20" s="23" t="s">
        <v>74</v>
      </c>
      <c r="C20" s="23" t="s">
        <v>75</v>
      </c>
      <c r="D20" s="23" t="s">
        <v>76</v>
      </c>
      <c r="E20" s="23" t="s">
        <v>77</v>
      </c>
      <c r="F20" s="23" t="s">
        <v>78</v>
      </c>
      <c r="G20" s="23" t="s">
        <v>79</v>
      </c>
      <c r="H20" s="23" t="s">
        <v>321</v>
      </c>
    </row>
    <row r="21" spans="1:8" x14ac:dyDescent="0.2">
      <c r="A21" s="15" t="s">
        <v>311</v>
      </c>
      <c r="B21" s="15">
        <f>B13/B16</f>
        <v>0.42982678013397413</v>
      </c>
      <c r="C21" s="15">
        <f>C13/C16</f>
        <v>0.47447128128316091</v>
      </c>
      <c r="D21" s="15">
        <f>D13/D16</f>
        <v>0.51790960002345188</v>
      </c>
      <c r="E21" s="15">
        <f>E13/E16</f>
        <v>0.55750862337797746</v>
      </c>
      <c r="F21" s="15">
        <f>F13/F16</f>
        <v>0.59184191308248657</v>
      </c>
      <c r="G21" s="15">
        <f>G13/G16</f>
        <v>0.62169671213051159</v>
      </c>
      <c r="H21" s="20" t="str">
        <f>IF(G21&gt;B21,"↑ Growing share","↓ Declining share")</f>
        <v>↑ Growing share</v>
      </c>
    </row>
    <row r="22" spans="1:8" x14ac:dyDescent="0.2">
      <c r="A22" s="15" t="s">
        <v>313</v>
      </c>
      <c r="B22" s="15">
        <f>B14/B16</f>
        <v>0.31596511125072413</v>
      </c>
      <c r="C22" s="15">
        <f>C14/C16</f>
        <v>0.29593728302117495</v>
      </c>
      <c r="D22" s="15">
        <f>D14/D16</f>
        <v>0.27581846634782475</v>
      </c>
      <c r="E22" s="15">
        <f>E14/E16</f>
        <v>0.25716385748315973</v>
      </c>
      <c r="F22" s="15">
        <f>F14/F16</f>
        <v>0.23997658725088503</v>
      </c>
      <c r="G22" s="15">
        <f>G14/G16</f>
        <v>0.2249987528332012</v>
      </c>
      <c r="H22" s="20" t="str">
        <f>IF(G22&gt;B22,"↑ Growing share","↓ Declining share")</f>
        <v>↓ Declining share</v>
      </c>
    </row>
    <row r="23" spans="1:8" x14ac:dyDescent="0.2">
      <c r="A23" s="15" t="s">
        <v>315</v>
      </c>
      <c r="B23" s="15">
        <f>B15/B16</f>
        <v>0.25420810861530174</v>
      </c>
      <c r="C23" s="15">
        <f>C15/C16</f>
        <v>0.22959143569566412</v>
      </c>
      <c r="D23" s="15">
        <f>D15/D16</f>
        <v>0.20627193362872329</v>
      </c>
      <c r="E23" s="15">
        <f>E15/E16</f>
        <v>0.18532751913886289</v>
      </c>
      <c r="F23" s="15">
        <f>F15/F16</f>
        <v>0.16818149966662832</v>
      </c>
      <c r="G23" s="15">
        <f>G15/G16</f>
        <v>0.15330453503628708</v>
      </c>
      <c r="H23" s="20" t="str">
        <f>IF(G23&gt;B23,"↑ Growing share","↓ Declining share")</f>
        <v>↓ Declining share</v>
      </c>
    </row>
    <row r="24" spans="1:8" x14ac:dyDescent="0.2">
      <c r="A24" s="43" t="s">
        <v>94</v>
      </c>
      <c r="B24" s="109">
        <v>1</v>
      </c>
      <c r="C24" s="109">
        <v>1</v>
      </c>
      <c r="D24" s="109">
        <v>1</v>
      </c>
      <c r="E24" s="109">
        <v>1</v>
      </c>
      <c r="F24" s="109">
        <v>1</v>
      </c>
      <c r="G24" s="109">
        <v>1</v>
      </c>
      <c r="H24" s="43"/>
    </row>
    <row r="25" spans="1:8" x14ac:dyDescent="0.2">
      <c r="A25" s="15"/>
      <c r="B25" s="15"/>
      <c r="C25" s="15"/>
      <c r="D25" s="15"/>
      <c r="E25" s="15"/>
      <c r="F25" s="15"/>
      <c r="G25" s="15"/>
      <c r="H25" s="15"/>
    </row>
    <row r="26" spans="1:8" x14ac:dyDescent="0.2">
      <c r="A26" s="15"/>
      <c r="B26" s="15"/>
      <c r="C26" s="15"/>
      <c r="D26" s="15"/>
      <c r="E26" s="15"/>
      <c r="F26" s="15"/>
      <c r="G26" s="15"/>
      <c r="H26" s="15"/>
    </row>
    <row r="27" spans="1:8" x14ac:dyDescent="0.2">
      <c r="A27" s="32" t="s">
        <v>322</v>
      </c>
      <c r="B27" s="33"/>
      <c r="C27" s="33"/>
      <c r="D27" s="33"/>
      <c r="E27" s="33"/>
      <c r="F27" s="33"/>
      <c r="G27" s="33"/>
      <c r="H27" s="33"/>
    </row>
    <row r="28" spans="1:8" x14ac:dyDescent="0.2">
      <c r="A28" s="23" t="s">
        <v>323</v>
      </c>
      <c r="B28" s="23" t="s">
        <v>74</v>
      </c>
      <c r="C28" s="23" t="s">
        <v>75</v>
      </c>
      <c r="D28" s="23" t="s">
        <v>76</v>
      </c>
      <c r="E28" s="23" t="s">
        <v>77</v>
      </c>
      <c r="F28" s="23" t="s">
        <v>78</v>
      </c>
      <c r="G28" s="23" t="s">
        <v>79</v>
      </c>
      <c r="H28" s="23"/>
    </row>
    <row r="29" spans="1:8" x14ac:dyDescent="0.2">
      <c r="A29" s="15" t="s">
        <v>324</v>
      </c>
      <c r="B29" s="15">
        <f>B16</f>
        <v>245122</v>
      </c>
      <c r="C29" s="15">
        <f>C16</f>
        <v>293116.16000000003</v>
      </c>
      <c r="D29" s="15">
        <f>D16</f>
        <v>349091.34720000008</v>
      </c>
      <c r="E29" s="15">
        <f>E16</f>
        <v>411855.79123200005</v>
      </c>
      <c r="F29" s="15">
        <f>F16</f>
        <v>481074.93936192011</v>
      </c>
      <c r="G29" s="15">
        <f>G16</f>
        <v>554147.33798649616</v>
      </c>
      <c r="H29" s="15"/>
    </row>
    <row r="30" spans="1:8" x14ac:dyDescent="0.2">
      <c r="A30" s="15" t="s">
        <v>325</v>
      </c>
      <c r="B30" s="15">
        <f>Projections!B6</f>
        <v>245122</v>
      </c>
      <c r="C30" s="15">
        <f>Projections!C6</f>
        <v>281890.3</v>
      </c>
      <c r="D30" s="15">
        <f>Projections!D6</f>
        <v>321354.94200000004</v>
      </c>
      <c r="E30" s="15">
        <f>Projections!E6</f>
        <v>363131.08445999998</v>
      </c>
      <c r="F30" s="15">
        <f>Projections!F6</f>
        <v>406706.8145952</v>
      </c>
      <c r="G30" s="15">
        <f>Projections!G6</f>
        <v>451444.56420067203</v>
      </c>
      <c r="H30" s="15"/>
    </row>
    <row r="31" spans="1:8" x14ac:dyDescent="0.2">
      <c r="A31" s="110" t="s">
        <v>326</v>
      </c>
      <c r="B31" s="110">
        <f>B29-B30</f>
        <v>0</v>
      </c>
      <c r="C31" s="110">
        <f>C29-C30</f>
        <v>11225.860000000044</v>
      </c>
      <c r="D31" s="110">
        <f>D29-D30</f>
        <v>27736.405200000037</v>
      </c>
      <c r="E31" s="110">
        <f>E29-E30</f>
        <v>48724.706772000063</v>
      </c>
      <c r="F31" s="110">
        <f>F29-F30</f>
        <v>74368.12476672011</v>
      </c>
      <c r="G31" s="110">
        <f>G29-G30</f>
        <v>102702.77378582413</v>
      </c>
      <c r="H31" s="69"/>
    </row>
    <row r="32" spans="1:8" x14ac:dyDescent="0.2">
      <c r="A32" s="69" t="s">
        <v>327</v>
      </c>
      <c r="B32" s="69">
        <f>B31/B30</f>
        <v>0</v>
      </c>
      <c r="C32" s="69">
        <f>C31/C30</f>
        <v>3.9823505810593851E-2</v>
      </c>
      <c r="D32" s="69">
        <f>D31/D30</f>
        <v>8.6310809559605378E-2</v>
      </c>
      <c r="E32" s="69">
        <f>E31/E30</f>
        <v>0.1341793882626626</v>
      </c>
      <c r="F32" s="69">
        <f>F31/F30</f>
        <v>0.18285438575879179</v>
      </c>
      <c r="G32" s="69">
        <f>G31/G30</f>
        <v>0.22749808488151743</v>
      </c>
      <c r="H32" s="69"/>
    </row>
    <row r="33" spans="1:8" x14ac:dyDescent="0.2">
      <c r="A33" s="15"/>
      <c r="B33" s="15"/>
      <c r="C33" s="15"/>
      <c r="D33" s="15"/>
      <c r="E33" s="15"/>
      <c r="F33" s="15"/>
      <c r="G33" s="15"/>
      <c r="H33" s="15"/>
    </row>
    <row r="34" spans="1:8" x14ac:dyDescent="0.2">
      <c r="A34" s="77" t="s">
        <v>328</v>
      </c>
      <c r="B34" s="77"/>
      <c r="C34" s="77"/>
      <c r="D34" s="77"/>
      <c r="E34" s="77"/>
      <c r="F34" s="77"/>
      <c r="G34" s="77"/>
      <c r="H34" s="77"/>
    </row>
    <row r="35" spans="1:8" x14ac:dyDescent="0.2">
      <c r="A35" s="15"/>
      <c r="B35" s="15"/>
      <c r="C35" s="15"/>
      <c r="D35" s="15"/>
      <c r="E35" s="15"/>
      <c r="F35" s="15"/>
      <c r="G35" s="15"/>
      <c r="H35" s="15"/>
    </row>
  </sheetData>
  <mergeCells count="5">
    <mergeCell ref="A4:H4"/>
    <mergeCell ref="A11:H11"/>
    <mergeCell ref="A19:H19"/>
    <mergeCell ref="A27:H27"/>
    <mergeCell ref="A34:H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Historicals</vt:lpstr>
      <vt:lpstr>Assumptions</vt:lpstr>
      <vt:lpstr>Projections</vt:lpstr>
      <vt:lpstr>DCF Valuation</vt:lpstr>
      <vt:lpstr>Sensitivity</vt:lpstr>
      <vt:lpstr>Comps</vt:lpstr>
      <vt:lpstr>Summary</vt:lpstr>
      <vt:lpstr>Investment Memo</vt:lpstr>
      <vt:lpstr>Segments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Abdulrahman AlOtaishan</dc:creator>
  <cp:lastModifiedBy>Abdulrahman AlOtaishan</cp:lastModifiedBy>
  <dcterms:created xsi:type="dcterms:W3CDTF">2026-05-03T21:20:46Z</dcterms:created>
  <dcterms:modified xsi:type="dcterms:W3CDTF">2026-05-03T22:39:30Z</dcterms:modified>
</cp:coreProperties>
</file>